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Geodesix 4.2.2\Geodesix\help\"/>
    </mc:Choice>
  </mc:AlternateContent>
  <xr:revisionPtr revIDLastSave="0" documentId="13_ncr:1_{962A492F-E951-45B8-B105-E2F19BAE4248}" xr6:coauthVersionLast="47" xr6:coauthVersionMax="47" xr10:uidLastSave="{00000000-0000-0000-0000-000000000000}"/>
  <bookViews>
    <workbookView xWindow="38280" yWindow="-120" windowWidth="25440" windowHeight="15540" xr2:uid="{9E516444-54A8-40B4-9B33-F3ABD2FFA806}"/>
  </bookViews>
  <sheets>
    <sheet name="Offices" sheetId="1" r:id="rId1"/>
    <sheet name="$GeoCache$" sheetId="2" state="very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2" i="1"/>
  <c r="N18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2" i="1"/>
  <c r="F3" i="1"/>
  <c r="F4" i="1"/>
  <c r="F5" i="1"/>
  <c r="F10" i="1"/>
  <c r="F12" i="1"/>
  <c r="F15" i="1"/>
  <c r="F18" i="1"/>
  <c r="F6" i="1"/>
  <c r="F9" i="1"/>
  <c r="F13" i="1"/>
  <c r="F16" i="1"/>
  <c r="F7" i="1"/>
  <c r="F8" i="1"/>
  <c r="F11" i="1"/>
  <c r="F14" i="1"/>
  <c r="F17" i="1"/>
  <c r="F2" i="1"/>
  <c r="B18" i="1"/>
  <c r="B14" i="1"/>
  <c r="C18" i="1"/>
  <c r="B7" i="1"/>
  <c r="C17" i="1"/>
  <c r="C2" i="1"/>
  <c r="C10" i="1"/>
  <c r="C16" i="1"/>
  <c r="K18" i="1"/>
  <c r="C11" i="1"/>
  <c r="C12" i="1"/>
  <c r="B9" i="1"/>
  <c r="C5" i="1"/>
  <c r="C4" i="1"/>
  <c r="C7" i="1"/>
  <c r="K7" i="1"/>
  <c r="B8" i="1"/>
  <c r="B11" i="1"/>
  <c r="C14" i="1"/>
  <c r="K14" i="1" s="1"/>
  <c r="B13" i="1"/>
  <c r="C6" i="1"/>
  <c r="B4" i="1"/>
  <c r="K4" i="1" s="1"/>
  <c r="B5" i="1"/>
  <c r="B3" i="1"/>
  <c r="B15" i="1"/>
  <c r="B12" i="1"/>
  <c r="C13" i="1"/>
  <c r="K13" i="1" s="1"/>
  <c r="B10" i="1"/>
  <c r="C8" i="1"/>
  <c r="C3" i="1"/>
  <c r="K3" i="1" s="1"/>
  <c r="B6" i="1"/>
  <c r="K6" i="1" s="1"/>
  <c r="K5" i="1"/>
  <c r="B17" i="1"/>
  <c r="B2" i="1"/>
  <c r="K2" i="1" s="1"/>
  <c r="C9" i="1"/>
  <c r="K9" i="1" s="1"/>
  <c r="K8" i="1"/>
  <c r="B16" i="1"/>
  <c r="C15" i="1"/>
  <c r="K15" i="1"/>
  <c r="K17" i="1"/>
  <c r="K11" i="1"/>
  <c r="K16" i="1"/>
  <c r="K10" i="1"/>
  <c r="K12" i="1"/>
</calcChain>
</file>

<file path=xl/sharedStrings.xml><?xml version="1.0" encoding="utf-8"?>
<sst xmlns="http://schemas.openxmlformats.org/spreadsheetml/2006/main" count="618" uniqueCount="285">
  <si>
    <t>latitude</t>
  </si>
  <si>
    <t>longitude</t>
  </si>
  <si>
    <t>formatted_address</t>
  </si>
  <si>
    <t>status</t>
  </si>
  <si>
    <t>administrative_area_level_1 political</t>
  </si>
  <si>
    <t>administrative_area_level_2 political</t>
  </si>
  <si>
    <t>administrative_area_level_3 political</t>
  </si>
  <si>
    <t>boundsne</t>
  </si>
  <si>
    <t>boundssw</t>
  </si>
  <si>
    <t>country political</t>
  </si>
  <si>
    <t>locality political</t>
  </si>
  <si>
    <t>location_type</t>
  </si>
  <si>
    <t>place_id</t>
  </si>
  <si>
    <t>postal_code</t>
  </si>
  <si>
    <t>postcode_localities</t>
  </si>
  <si>
    <t>26.1322435,-80.2013211</t>
  </si>
  <si>
    <t>OK</t>
  </si>
  <si>
    <t>Florida</t>
  </si>
  <si>
    <t>Broward County</t>
  </si>
  <si>
    <t>26.1683168,-80.143154</t>
  </si>
  <si>
    <t>26.1210709,-80.203172</t>
  </si>
  <si>
    <t>United States</t>
  </si>
  <si>
    <t>Wilton Manors, FL 33311, USA</t>
  </si>
  <si>
    <t>Wilton Manors</t>
  </si>
  <si>
    <t>APPROXIMATE</t>
  </si>
  <si>
    <t>ChIJieKYHTsB2YgR_UcTSoXl2Ec</t>
  </si>
  <si>
    <t>Fort Lauderdale Lauderdale Lakes Lauderhill Oakland Park Plantation Wilton Manors</t>
  </si>
  <si>
    <t>29.7427042,-95.2949013</t>
  </si>
  <si>
    <t>74.071038,-66.885417</t>
  </si>
  <si>
    <t>18.7763,166.9999999</t>
  </si>
  <si>
    <t>ChIJCzYy5IS16lQRQrfeQ5K5Oxw</t>
  </si>
  <si>
    <t>33.8609298,-84.3044434</t>
  </si>
  <si>
    <t>Georgia</t>
  </si>
  <si>
    <t>35.001303,-80.78296</t>
  </si>
  <si>
    <t>30.3557569,-85.6051649</t>
  </si>
  <si>
    <t>Georgia, USA</t>
  </si>
  <si>
    <t>ChIJV4FfHcU28YgR5xBP7BC8hGY</t>
  </si>
  <si>
    <t>35.1866856,-80.8088207</t>
  </si>
  <si>
    <t>North Carolina</t>
  </si>
  <si>
    <t>36.5881371,-75.400119</t>
  </si>
  <si>
    <t>33.752878,-84.321821</t>
  </si>
  <si>
    <t>North Carolina, USA</t>
  </si>
  <si>
    <t>ChIJgRo4_MQfVIgRGa4i6fUwP60</t>
  </si>
  <si>
    <t>36.1717606,-115.154322</t>
  </si>
  <si>
    <t>37.7698671,-122.4208052</t>
  </si>
  <si>
    <t>38.7411883,-90.3396433</t>
  </si>
  <si>
    <t>Missouri</t>
  </si>
  <si>
    <t>St. Louis County</t>
  </si>
  <si>
    <t>Airport Township</t>
  </si>
  <si>
    <t>38.7737499,-90.3105689</t>
  </si>
  <si>
    <t>38.7205245,-90.3533349</t>
  </si>
  <si>
    <t>Berkeley, MO, USA</t>
  </si>
  <si>
    <t>Berkeley</t>
  </si>
  <si>
    <t>ChIJwfy7Uns234cRvl8qsLoBjcY</t>
  </si>
  <si>
    <t>38.9918253,-77.010201</t>
  </si>
  <si>
    <t>Maryland</t>
  </si>
  <si>
    <t>39.723037,-74.9862819</t>
  </si>
  <si>
    <t>37.886605,-79.4876511</t>
  </si>
  <si>
    <t>Maryland, USA</t>
  </si>
  <si>
    <t>ChIJ35Dx6etNtokRsfZVdmU3r_I</t>
  </si>
  <si>
    <t>39.7597484,-104.9624088</t>
  </si>
  <si>
    <t>40.7287867,-111.8870789</t>
  </si>
  <si>
    <t>40.7655062,-73.4314007</t>
  </si>
  <si>
    <t>New York</t>
  </si>
  <si>
    <t>Suffolk County</t>
  </si>
  <si>
    <t>41.3103871,-71.777491</t>
  </si>
  <si>
    <t>40.534265,-73.4974049</t>
  </si>
  <si>
    <t>Suffolk County, NY, USA</t>
  </si>
  <si>
    <t>ChIJ1_mbyICu4IkRU18dDUkMxJU</t>
  </si>
  <si>
    <t>42.4042192,-71.1320743</t>
  </si>
  <si>
    <t>Massachusetts</t>
  </si>
  <si>
    <t>Middlesex County</t>
  </si>
  <si>
    <t>42.418118,-71.0729949</t>
  </si>
  <si>
    <t>42.372997,-71.1345009</t>
  </si>
  <si>
    <t>Somerville, MA, USA</t>
  </si>
  <si>
    <t>Somerville</t>
  </si>
  <si>
    <t>ChIJZeH1eyl344kRA3v52Jl3kHo</t>
  </si>
  <si>
    <t>43.0883896,-88.0233676</t>
  </si>
  <si>
    <t>Wisconsin</t>
  </si>
  <si>
    <t>Milwaukee County</t>
  </si>
  <si>
    <t>43.1925809,-87.0694189</t>
  </si>
  <si>
    <t>42.842117,-88.069947</t>
  </si>
  <si>
    <t>Milwaukee County, WI, USA</t>
  </si>
  <si>
    <t>ChIJn_qhzUnMGogRPqGaYXA4zLA</t>
  </si>
  <si>
    <t>49.2447271,-123.0930501</t>
  </si>
  <si>
    <t>83.6381,-50.9766</t>
  </si>
  <si>
    <t>41.6765559,-141.00187</t>
  </si>
  <si>
    <t>Canada</t>
  </si>
  <si>
    <t>ChIJ2WrMN9MDDUsRpY9Doiq3aJk</t>
  </si>
  <si>
    <t>San Francisco</t>
  </si>
  <si>
    <t>Las Vegas</t>
  </si>
  <si>
    <t>Salt Lake City</t>
  </si>
  <si>
    <t>Denver</t>
  </si>
  <si>
    <t>Houston</t>
  </si>
  <si>
    <t>Berkeley, MO</t>
  </si>
  <si>
    <t>St. Louis</t>
  </si>
  <si>
    <t>Milwaukee</t>
  </si>
  <si>
    <t>Atlanta</t>
  </si>
  <si>
    <t>Fort Lauderdale</t>
  </si>
  <si>
    <t>Charlotte</t>
  </si>
  <si>
    <t>Washington DC</t>
  </si>
  <si>
    <t>Boston</t>
  </si>
  <si>
    <t>Salt Lake City, UT</t>
  </si>
  <si>
    <t>Denver, CO</t>
  </si>
  <si>
    <t>Houston, TX</t>
  </si>
  <si>
    <t>icon</t>
  </si>
  <si>
    <t>$Sports_Bar</t>
  </si>
  <si>
    <t>Phoenix, AZ</t>
  </si>
  <si>
    <t>$Factory</t>
  </si>
  <si>
    <t>Nashville, TE</t>
  </si>
  <si>
    <t>Pittsburgh</t>
  </si>
  <si>
    <t>Pittsburgh, PA</t>
  </si>
  <si>
    <t>San Francisco, CA</t>
  </si>
  <si>
    <t>Las Vegas, NV</t>
  </si>
  <si>
    <t>St. Louis, MO</t>
  </si>
  <si>
    <t>Milwaukee, WI</t>
  </si>
  <si>
    <t>Atlanta, GA</t>
  </si>
  <si>
    <t>Fort Lauderdale, FL</t>
  </si>
  <si>
    <t>Charlotte, NC</t>
  </si>
  <si>
    <t>Washington, DC</t>
  </si>
  <si>
    <t>New York, NY</t>
  </si>
  <si>
    <t>Boston, MA</t>
  </si>
  <si>
    <t>Minneapolis</t>
  </si>
  <si>
    <t>Minneapolis, MN</t>
  </si>
  <si>
    <t>$Account_Balance</t>
  </si>
  <si>
    <t>Brown</t>
  </si>
  <si>
    <t>DarkGreen</t>
  </si>
  <si>
    <t>Red</t>
  </si>
  <si>
    <t>iconColor</t>
  </si>
  <si>
    <t>colloquial_area political</t>
  </si>
  <si>
    <t>partial_match</t>
  </si>
  <si>
    <t>Fulton County</t>
  </si>
  <si>
    <t>33.8868062,-84.289516</t>
  </si>
  <si>
    <t>33.6479288,-84.5507451</t>
  </si>
  <si>
    <t>Atlanta, GA, USA</t>
  </si>
  <si>
    <t>ChIJjQmTaV0E9YgRC2MLmS_e_mY</t>
  </si>
  <si>
    <t>42.4008199,-70.749455</t>
  </si>
  <si>
    <t>42.22788,-71.191113</t>
  </si>
  <si>
    <t>Boston, MA, USA</t>
  </si>
  <si>
    <t>ChIJGzE9DS1l44kRoOhiASS_fHg</t>
  </si>
  <si>
    <t>Mecklenburg County</t>
  </si>
  <si>
    <t>35.393133,-80.670104</t>
  </si>
  <si>
    <t>35.0131739,-81.0095539</t>
  </si>
  <si>
    <t>Charlotte, NC, USA</t>
  </si>
  <si>
    <t>ChIJgRo4_MQfVIgRZNFDv-ZQRog</t>
  </si>
  <si>
    <t>Colorado</t>
  </si>
  <si>
    <t>Denver County</t>
  </si>
  <si>
    <t>39.9142469,-104.6002959</t>
  </si>
  <si>
    <t>39.614431,-105.109927</t>
  </si>
  <si>
    <t>Denver, CO, USA</t>
  </si>
  <si>
    <t>ChIJzxcfI6qAa4cR1jaKJ_j0jhE</t>
  </si>
  <si>
    <t>26.21186,-80.087165</t>
  </si>
  <si>
    <t>26.070365,-80.2039691</t>
  </si>
  <si>
    <t>Fort Lauderdale, FL, USA</t>
  </si>
  <si>
    <t>ChIJ9cr6ICcB2YgRvo6_QHW-AnY</t>
  </si>
  <si>
    <t>Texas</t>
  </si>
  <si>
    <t>Harris County</t>
  </si>
  <si>
    <t>30.1107319,-95.014496</t>
  </si>
  <si>
    <t>29.523624,-95.7880869</t>
  </si>
  <si>
    <t>Houston, TX, USA</t>
  </si>
  <si>
    <t>ChIJAYWNSLS4QIYROwVl894CDco</t>
  </si>
  <si>
    <t>Nevada</t>
  </si>
  <si>
    <t>Clark County</t>
  </si>
  <si>
    <t>36.380623,-115.062072</t>
  </si>
  <si>
    <t>36.1296229,-115.414625</t>
  </si>
  <si>
    <t>Las Vegas, NV, USA</t>
  </si>
  <si>
    <t>ChIJ0X31pIK3voARo3mz1ebVzDo</t>
  </si>
  <si>
    <t>43.1949671,-87.8639841</t>
  </si>
  <si>
    <t>42.9208158,-88.0710086</t>
  </si>
  <si>
    <t>Milwaukee, WI, USA</t>
  </si>
  <si>
    <t>ChIJ50eLV9cCBYgRhHtBtSIZX0Q</t>
  </si>
  <si>
    <t>Minnesota</t>
  </si>
  <si>
    <t>Hennepin County</t>
  </si>
  <si>
    <t>45.05125,-93.193794</t>
  </si>
  <si>
    <t>44.890144,-93.329163</t>
  </si>
  <si>
    <t>Minneapolis, MN, USA</t>
  </si>
  <si>
    <t>ChIJvbt3k5Azs1IRB-56L4TJn5M</t>
  </si>
  <si>
    <t>Tennessee</t>
  </si>
  <si>
    <t>Davidson County</t>
  </si>
  <si>
    <t>36.4054959,-86.5155879</t>
  </si>
  <si>
    <t>35.9677851,-87.054903</t>
  </si>
  <si>
    <t>Nashville, TN, USA</t>
  </si>
  <si>
    <t>Nashville</t>
  </si>
  <si>
    <t>ChIJPZDrEzLsZIgRoNrpodC5P30</t>
  </si>
  <si>
    <t>40.9175771,-73.7002721</t>
  </si>
  <si>
    <t>40.4773991,-74.2590899</t>
  </si>
  <si>
    <t>New York, NY, USA</t>
  </si>
  <si>
    <t>ChIJOwg_06VPwokRYv534QaPC8g</t>
  </si>
  <si>
    <t>Arizona</t>
  </si>
  <si>
    <t>Maricopa County</t>
  </si>
  <si>
    <t>33.92057,-111.926046</t>
  </si>
  <si>
    <t>33.2902598,-112.324056</t>
  </si>
  <si>
    <t>Phoenix, AZ, USA</t>
  </si>
  <si>
    <t>Phoenix</t>
  </si>
  <si>
    <t>ChIJy3mhUO0SK4cRrBtKNfjHaYw</t>
  </si>
  <si>
    <t>Pennsylvania</t>
  </si>
  <si>
    <t>Allegheny County</t>
  </si>
  <si>
    <t>40.501368,-79.8657231</t>
  </si>
  <si>
    <t>40.3613689,-80.0952779</t>
  </si>
  <si>
    <t>Pittsburgh, PA, USA</t>
  </si>
  <si>
    <t>ChIJA4UGSG_xNIgRNBuiWqEV-Y0</t>
  </si>
  <si>
    <t>Utah</t>
  </si>
  <si>
    <t>Salt Lake County</t>
  </si>
  <si>
    <t>40.8529699,-111.7394581</t>
  </si>
  <si>
    <t>40.700246,-112.101512</t>
  </si>
  <si>
    <t>Salt Lake City, UT, USA</t>
  </si>
  <si>
    <t>ChIJ7THRiJQ9UocRyjFNSKC3U1s</t>
  </si>
  <si>
    <t>California</t>
  </si>
  <si>
    <t>38.8643,-121.208178</t>
  </si>
  <si>
    <t>36.8929759,-123.632497</t>
  </si>
  <si>
    <t>San Francisco Bay Area</t>
  </si>
  <si>
    <t>San Francisco Bay Area, CA, USA</t>
  </si>
  <si>
    <t>ChIJtdeIpqODhYARqR9GV4QbiYw</t>
  </si>
  <si>
    <t>San Francisco County</t>
  </si>
  <si>
    <t>37.9298239,-122.28178</t>
  </si>
  <si>
    <t>37.6398299,-123.1328309</t>
  </si>
  <si>
    <t>San Francisco, CA, USA</t>
  </si>
  <si>
    <t>ChIJIQBpAG2ahYAR_6128GcTUEo</t>
  </si>
  <si>
    <t>38.774349,-90.166409</t>
  </si>
  <si>
    <t>38.5318519,-90.320515</t>
  </si>
  <si>
    <t>St. Louis, MO, USA</t>
  </si>
  <si>
    <t>ChIJ-Y7t-qm02IcRW-C7IsrqOb4</t>
  </si>
  <si>
    <t>District of Columbia</t>
  </si>
  <si>
    <t>38.9958641,-76.909393</t>
  </si>
  <si>
    <t>38.7916449,-77.119759</t>
  </si>
  <si>
    <t>Washington, DC, USA</t>
  </si>
  <si>
    <t>Washington</t>
  </si>
  <si>
    <t>ChIJW-T2Wt7Gt4kRKl2I1CJFUsI</t>
  </si>
  <si>
    <t>title</t>
  </si>
  <si>
    <t>Linda Terrell</t>
  </si>
  <si>
    <t>Phillip Pollard</t>
  </si>
  <si>
    <t>Melvin Manning</t>
  </si>
  <si>
    <t>Tobias Ballard</t>
  </si>
  <si>
    <t>Russell Lang</t>
  </si>
  <si>
    <t>Lincoln Mayer</t>
  </si>
  <si>
    <t>Ralph Cotton</t>
  </si>
  <si>
    <t>Marc Hatfield</t>
  </si>
  <si>
    <t>Alfred Hoffman</t>
  </si>
  <si>
    <t>Patrick Cabrera</t>
  </si>
  <si>
    <t>Emmanuel Haas</t>
  </si>
  <si>
    <t>Sam Faulkner</t>
  </si>
  <si>
    <t>Henry Noble</t>
  </si>
  <si>
    <t>Allan Booker</t>
  </si>
  <si>
    <t>Stephen Simmons</t>
  </si>
  <si>
    <t>Nadia Holt</t>
  </si>
  <si>
    <t>Location</t>
  </si>
  <si>
    <t>Employees</t>
  </si>
  <si>
    <t>Revenue K$</t>
  </si>
  <si>
    <t>Ratio</t>
  </si>
  <si>
    <t>82</t>
  </si>
  <si>
    <t>167</t>
  </si>
  <si>
    <t>143</t>
  </si>
  <si>
    <t>2,472</t>
  </si>
  <si>
    <t>106</t>
  </si>
  <si>
    <t>105</t>
  </si>
  <si>
    <t>110</t>
  </si>
  <si>
    <t>2,100</t>
  </si>
  <si>
    <t>174</t>
  </si>
  <si>
    <t>155</t>
  </si>
  <si>
    <t>21,087</t>
  </si>
  <si>
    <t>154</t>
  </si>
  <si>
    <t>141</t>
  </si>
  <si>
    <t>5,227</t>
  </si>
  <si>
    <t>156</t>
  </si>
  <si>
    <t>104</t>
  </si>
  <si>
    <t>Facility</t>
  </si>
  <si>
    <t>Bar</t>
  </si>
  <si>
    <t>Brewery</t>
  </si>
  <si>
    <t>Head Office</t>
  </si>
  <si>
    <t>Manager</t>
  </si>
  <si>
    <t>Extension</t>
  </si>
  <si>
    <t>Time</t>
  </si>
  <si>
    <t>Legend</t>
  </si>
  <si>
    <t>Miles City, MN</t>
  </si>
  <si>
    <t>Header</t>
  </si>
  <si>
    <t>Montana</t>
  </si>
  <si>
    <t>Custer County</t>
  </si>
  <si>
    <t>46.427774,-105.8105</t>
  </si>
  <si>
    <t>46.3829221,-105.86567</t>
  </si>
  <si>
    <t>Miles City, MT 59301, USA</t>
  </si>
  <si>
    <t>Miles City</t>
  </si>
  <si>
    <t>ChIJ-wCsu3kbOlMRfu5ytvGb9qM</t>
  </si>
  <si>
    <t xml:space="preserve">&lt;link rel="stylesheet" href="https://fonts.googleapis.com/css2?family=Material+Symbols+Outlined:opsz,wght,FILL,GRAD@20..48,100..700,0..1,-50..200" /&gt;
&lt;div style="display:flex; position: absolute; left: 50%; top: 3px; transform: translate(-50%, 0%); 
      vertical-align: middle; background-color: #ffffff; 
      border: 2px solid; border-color: #bbbbbb #222222 #222222 #bbbbbb; font-family: arial; font-size: 16px; font-weight: bold"&gt;
    &lt;span class="material-symbols-outlined" style="color: Brown; padding: 5px"&gt;Sports_Bar&lt;/span&gt;
    &lt;span style="padding: 5px; display: inline-flex; align-items: center; color: Brown; "&gt;Chopes Beers Offices&lt;/span&gt;
&lt;/div&gt;
</t>
  </si>
  <si>
    <t>free</t>
  </si>
  <si>
    <t>&lt;link rel="stylesheet" href="https://fonts.googleapis.com/css2?family=Material+Symbols+Outlined:opsz,wght,FILL,GRAD@20..48,100..700,0..1,-50..200" /&gt;
&lt;div style="position:absolute; top:3px; left:3px; border:2px solid; border-color:#bbbbbb #222222 #222222 #bbbbbb; font-family: arial; font-size: 11px;"&gt;
    &lt;table style="border:1px #a0a0a0 solid; border-collapse:collapse; background-color:#eeeeee"&gt;
        &lt;tr&gt;&lt;td class="material-symbols-outlined" style="color:Red"&gt;Account_Balance&lt;/td&gt;&lt;td&gt;Head Office&lt;/td&gt;&lt;/tr&gt;
        &lt;tr&gt;&lt;td class="material-symbols-outlined" style="color:DarkGreen"&gt;Factory&lt;/td&gt;&lt;td&gt;Brewery&lt;/td&gt;&lt;/tr&gt;
        &lt;tr&gt;&lt;td class="material-symbols-outlined" style="color:Brown"&gt;Sports_Bar&lt;/td&gt;&lt;td&gt;Bar&lt;/td&gt;&lt;/tr&gt;
    &lt;/table&gt;
&lt;/div&gt;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</si>
</sst>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top"/>
    </xf>
    <xf numFmtId="164" fontId="0" fillId="0" borderId="0" xfId="1" applyNumberFormat="1" applyFont="1" applyAlignment="1">
      <alignment vertical="top"/>
    </xf>
    <xf numFmtId="0" fontId="0" fillId="0" borderId="0" xfId="0" applyAlignment="1">
      <alignment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7B2D2-3216-451D-BA03-1882091C3EF5}">
  <sheetPr codeName="Sheet1"/>
  <dimension ref="A1:N23"/>
  <sheetViews>
    <sheetView tabSelected="1" workbookViewId="0"/>
  </sheetViews>
  <sheetFormatPr defaultRowHeight="15" x14ac:dyDescent="0.25"/>
  <cols>
    <col min="1" max="1" width="18" style="1" bestFit="1" customWidth="1"/>
    <col min="2" max="2" width="11" style="1" bestFit="1" customWidth="1"/>
    <col min="3" max="3" width="12.7109375" style="1" bestFit="1" customWidth="1"/>
    <col min="4" max="4" width="17.28515625" style="1" bestFit="1" customWidth="1"/>
    <col min="5" max="5" width="10.42578125" style="1" bestFit="1" customWidth="1"/>
    <col min="6" max="6" width="5.7109375" style="1" customWidth="1"/>
    <col min="7" max="8" width="11.42578125" style="1" bestFit="1" customWidth="1"/>
    <col min="9" max="9" width="17.28515625" style="1" bestFit="1" customWidth="1"/>
    <col min="10" max="10" width="9.7109375" style="1" bestFit="1" customWidth="1"/>
    <col min="11" max="11" width="17.28515625" style="1" bestFit="1" customWidth="1"/>
    <col min="12" max="12" width="10.7109375" style="1" bestFit="1" customWidth="1"/>
    <col min="13" max="13" width="11.42578125" style="1" bestFit="1" customWidth="1"/>
    <col min="14" max="14" width="5.5703125" style="1" bestFit="1" customWidth="1"/>
    <col min="15" max="16384" width="9.140625" style="1"/>
  </cols>
  <sheetData>
    <row r="1" spans="1:14" ht="15" customHeight="1" x14ac:dyDescent="0.25">
      <c r="A1" s="1" t="s">
        <v>245</v>
      </c>
      <c r="B1" s="1" t="s">
        <v>0</v>
      </c>
      <c r="C1" s="1" t="s">
        <v>1</v>
      </c>
      <c r="D1" s="1" t="s">
        <v>105</v>
      </c>
      <c r="E1" s="1" t="s">
        <v>128</v>
      </c>
      <c r="F1" s="1" t="s">
        <v>228</v>
      </c>
      <c r="G1" s="1" t="s">
        <v>245</v>
      </c>
      <c r="H1" s="1" t="s">
        <v>265</v>
      </c>
      <c r="I1" s="1" t="s">
        <v>269</v>
      </c>
      <c r="J1" s="1" t="s">
        <v>270</v>
      </c>
      <c r="K1" s="1" t="s">
        <v>271</v>
      </c>
      <c r="L1" s="1" t="s">
        <v>246</v>
      </c>
      <c r="M1" s="1" t="s">
        <v>247</v>
      </c>
      <c r="N1" s="1" t="s">
        <v>248</v>
      </c>
    </row>
    <row r="2" spans="1:14" ht="15" customHeight="1" x14ac:dyDescent="0.25">
      <c r="A2" s="1" t="s">
        <v>121</v>
      </c>
      <c r="B2" s="1">
        <f>_xll.GeodesiX.UDF.Geocode(B$1, $A2)</f>
        <v>42.360082499999997</v>
      </c>
      <c r="C2" s="1">
        <f>_xll.GeodesiX.UDF.Geocode(C$1, $A2)</f>
        <v>-71.058880099999996</v>
      </c>
      <c r="D2" s="1" t="s">
        <v>106</v>
      </c>
      <c r="E2" s="1" t="s">
        <v>125</v>
      </c>
      <c r="F2" s="1" t="str">
        <f>HTMLTable($G$1:$N$1,G2:N2)</f>
        <v>&lt;table&gt;&lt;tr&gt;&lt;td align=right&gt;Location&lt;/td&gt;&lt;td align=left&gt;Boston, MA&lt;/tr&gt;&lt;tr&gt;&lt;td align=right&gt;Facility&lt;/td&gt;&lt;td align=left&gt;Bar&lt;/tr&gt;&lt;tr&gt;&lt;td align=right&gt;Manager&lt;/td&gt;&lt;td align=left&gt;Sam Faulkner&lt;/tr&gt;&lt;tr&gt;&lt;td align=right&gt;Extension&lt;/td&gt;&lt;td align=left&gt;6276&lt;/tr&gt;&lt;tr&gt;&lt;td align=right&gt;Time&lt;/td&gt;&lt;td align=left&gt;05:00 New_York&lt;/tr&gt;&lt;tr&gt;&lt;td align=right&gt;Employees&lt;/td&gt;&lt;td align=left&gt;4&lt;/tr&gt;&lt;tr&gt;&lt;td align=right&gt;Revenue K$&lt;/td&gt;&lt;td align=left&gt;82&lt;/tr&gt;&lt;tr&gt;&lt;td align=right&gt;Ratio&lt;/td&gt;&lt;td align=left&gt;20&lt;/tr&gt;&lt;/table&gt;</v>
      </c>
      <c r="G2" s="1" t="str">
        <f>A2</f>
        <v>Boston, MA</v>
      </c>
      <c r="H2" s="1" t="s">
        <v>266</v>
      </c>
      <c r="I2" s="1" t="s">
        <v>240</v>
      </c>
      <c r="J2" s="1">
        <v>6276</v>
      </c>
      <c r="K2" s="1" t="str">
        <f>TEXT(-_xll.GeodesiX.UDF.TimeOffset($B2, $C2),"hh:mm")&amp;" "&amp;MID(_xll.GeodesiX.UDF.TimeZone($B2, $C2),9,12)</f>
        <v>05:00 New_York</v>
      </c>
      <c r="L2" s="1">
        <v>4</v>
      </c>
      <c r="M2" s="2" t="s">
        <v>249</v>
      </c>
      <c r="N2" s="1">
        <f>INT(M2/L2)</f>
        <v>20</v>
      </c>
    </row>
    <row r="3" spans="1:14" ht="15" customHeight="1" x14ac:dyDescent="0.25">
      <c r="A3" s="1" t="s">
        <v>120</v>
      </c>
      <c r="B3" s="1">
        <f>_xll.GeodesiX.UDF.Geocode(B$1, $A3)</f>
        <v>40.712775299999997</v>
      </c>
      <c r="C3" s="1">
        <f>_xll.GeodesiX.UDF.Geocode(C$1, $A3)</f>
        <v>-74.005972799999995</v>
      </c>
      <c r="D3" s="1" t="s">
        <v>106</v>
      </c>
      <c r="E3" s="1" t="s">
        <v>125</v>
      </c>
      <c r="F3" s="1" t="str">
        <f t="shared" ref="F3:F18" si="0">HTMLTable($G$1:$N$1,G3:N3)</f>
        <v>&lt;table&gt;&lt;tr&gt;&lt;td align=right&gt;Location&lt;/td&gt;&lt;td align=left&gt;New York, NY&lt;/tr&gt;&lt;tr&gt;&lt;td align=right&gt;Facility&lt;/td&gt;&lt;td align=left&gt;Bar&lt;/tr&gt;&lt;tr&gt;&lt;td align=right&gt;Manager&lt;/td&gt;&lt;td align=left&gt;Emmanuel Haas&lt;/tr&gt;&lt;tr&gt;&lt;td align=right&gt;Extension&lt;/td&gt;&lt;td align=left&gt;5066&lt;/tr&gt;&lt;tr&gt;&lt;td align=right&gt;Time&lt;/td&gt;&lt;td align=left&gt;05:00 New_York&lt;/tr&gt;&lt;tr&gt;&lt;td align=right&gt;Employees&lt;/td&gt;&lt;td align=left&gt;4&lt;/tr&gt;&lt;tr&gt;&lt;td align=right&gt;Revenue K$&lt;/td&gt;&lt;td align=left&gt;167&lt;/tr&gt;&lt;tr&gt;&lt;td align=right&gt;Ratio&lt;/td&gt;&lt;td align=left&gt;41&lt;/tr&gt;&lt;/table&gt;</v>
      </c>
      <c r="G3" s="1" t="str">
        <f t="shared" ref="G3:G18" si="1">A3</f>
        <v>New York, NY</v>
      </c>
      <c r="H3" s="1" t="s">
        <v>266</v>
      </c>
      <c r="I3" s="1" t="s">
        <v>239</v>
      </c>
      <c r="J3" s="1">
        <v>5066</v>
      </c>
      <c r="K3" s="1" t="str">
        <f>TEXT(-_xll.GeodesiX.UDF.TimeOffset($B3, $C3),"hh:mm")&amp;" "&amp;MID(_xll.GeodesiX.UDF.TimeZone($B3, $C3),9,12)</f>
        <v>05:00 New_York</v>
      </c>
      <c r="L3" s="1">
        <v>4</v>
      </c>
      <c r="M3" s="2" t="s">
        <v>250</v>
      </c>
      <c r="N3" s="1">
        <f t="shared" ref="N3:N17" si="2">INT(M3/L3)</f>
        <v>41</v>
      </c>
    </row>
    <row r="4" spans="1:14" ht="15" customHeight="1" x14ac:dyDescent="0.25">
      <c r="A4" s="1" t="s">
        <v>119</v>
      </c>
      <c r="B4" s="1">
        <f>_xll.GeodesiX.UDF.Geocode(B$1, $A4)</f>
        <v>38.907192299999998</v>
      </c>
      <c r="C4" s="1">
        <f>_xll.GeodesiX.UDF.Geocode(C$1, $A4)</f>
        <v>-77.036870699999994</v>
      </c>
      <c r="D4" s="1" t="s">
        <v>106</v>
      </c>
      <c r="E4" s="1" t="s">
        <v>125</v>
      </c>
      <c r="F4" s="1" t="str">
        <f t="shared" si="0"/>
        <v>&lt;table&gt;&lt;tr&gt;&lt;td align=right&gt;Location&lt;/td&gt;&lt;td align=left&gt;Washington, DC&lt;/tr&gt;&lt;tr&gt;&lt;td align=right&gt;Facility&lt;/td&gt;&lt;td align=left&gt;Bar&lt;/tr&gt;&lt;tr&gt;&lt;td align=right&gt;Manager&lt;/td&gt;&lt;td align=left&gt;Patrick Cabrera&lt;/tr&gt;&lt;tr&gt;&lt;td align=right&gt;Extension&lt;/td&gt;&lt;td align=left&gt;1010&lt;/tr&gt;&lt;tr&gt;&lt;td align=right&gt;Time&lt;/td&gt;&lt;td align=left&gt;05:00 New_York&lt;/tr&gt;&lt;tr&gt;&lt;td align=right&gt;Employees&lt;/td&gt;&lt;td align=left&gt;6&lt;/tr&gt;&lt;tr&gt;&lt;td align=right&gt;Revenue K$&lt;/td&gt;&lt;td align=left&gt;143&lt;/tr&gt;&lt;tr&gt;&lt;td align=right&gt;Ratio&lt;/td&gt;&lt;td align=left&gt;23&lt;/tr&gt;&lt;/table&gt;</v>
      </c>
      <c r="G4" s="1" t="str">
        <f t="shared" si="1"/>
        <v>Washington, DC</v>
      </c>
      <c r="H4" s="1" t="s">
        <v>266</v>
      </c>
      <c r="I4" s="1" t="s">
        <v>238</v>
      </c>
      <c r="J4" s="1">
        <v>1010</v>
      </c>
      <c r="K4" s="1" t="str">
        <f>TEXT(-_xll.GeodesiX.UDF.TimeOffset($B4, $C4),"hh:mm")&amp;" "&amp;MID(_xll.GeodesiX.UDF.TimeZone($B4, $C4),9,12)</f>
        <v>05:00 New_York</v>
      </c>
      <c r="L4" s="1">
        <v>6</v>
      </c>
      <c r="M4" s="2" t="s">
        <v>251</v>
      </c>
      <c r="N4" s="1">
        <f t="shared" si="2"/>
        <v>23</v>
      </c>
    </row>
    <row r="5" spans="1:14" ht="15" customHeight="1" x14ac:dyDescent="0.25">
      <c r="A5" s="1" t="s">
        <v>111</v>
      </c>
      <c r="B5" s="1">
        <f>_xll.GeodesiX.UDF.Geocode(B$1, $A5)</f>
        <v>40.440624800000002</v>
      </c>
      <c r="C5" s="1">
        <f>_xll.GeodesiX.UDF.Geocode(C$1, $A5)</f>
        <v>-79.995886400000003</v>
      </c>
      <c r="D5" s="1" t="s">
        <v>108</v>
      </c>
      <c r="E5" s="1" t="s">
        <v>126</v>
      </c>
      <c r="F5" s="1" t="str">
        <f t="shared" si="0"/>
        <v>&lt;table&gt;&lt;tr&gt;&lt;td align=right&gt;Location&lt;/td&gt;&lt;td align=left&gt;Pittsburgh, PA&lt;/tr&gt;&lt;tr&gt;&lt;td align=right&gt;Facility&lt;/td&gt;&lt;td align=left&gt;Brewery&lt;/tr&gt;&lt;tr&gt;&lt;td align=right&gt;Manager&lt;/td&gt;&lt;td align=left&gt;Stephen Simmons&lt;/tr&gt;&lt;tr&gt;&lt;td align=right&gt;Extension&lt;/td&gt;&lt;td align=left&gt;1513&lt;/tr&gt;&lt;tr&gt;&lt;td align=right&gt;Time&lt;/td&gt;&lt;td align=left&gt;05:00 New_York&lt;/tr&gt;&lt;tr&gt;&lt;td align=right&gt;Employees&lt;/td&gt;&lt;td align=left&gt;86&lt;/tr&gt;&lt;tr&gt;&lt;td align=right&gt;Revenue K$&lt;/td&gt;&lt;td align=left&gt;2,472&lt;/tr&gt;&lt;tr&gt;&lt;td align=right&gt;Ratio&lt;/td&gt;&lt;td align=left&gt;28&lt;/tr&gt;&lt;/table&gt;</v>
      </c>
      <c r="G5" s="1" t="str">
        <f t="shared" si="1"/>
        <v>Pittsburgh, PA</v>
      </c>
      <c r="H5" s="1" t="s">
        <v>267</v>
      </c>
      <c r="I5" s="1" t="s">
        <v>243</v>
      </c>
      <c r="J5" s="1">
        <v>1513</v>
      </c>
      <c r="K5" s="1" t="str">
        <f>TEXT(-_xll.GeodesiX.UDF.TimeOffset($B5, $C5),"hh:mm")&amp;" "&amp;MID(_xll.GeodesiX.UDF.TimeZone($B5, $C5),9,12)</f>
        <v>05:00 New_York</v>
      </c>
      <c r="L5" s="1">
        <v>86</v>
      </c>
      <c r="M5" s="2" t="s">
        <v>252</v>
      </c>
      <c r="N5" s="1">
        <f t="shared" si="2"/>
        <v>28</v>
      </c>
    </row>
    <row r="6" spans="1:14" ht="15" customHeight="1" x14ac:dyDescent="0.25">
      <c r="A6" s="1" t="s">
        <v>117</v>
      </c>
      <c r="B6" s="1">
        <f>_xll.GeodesiX.UDF.Geocode(B$1, $A6)</f>
        <v>26.122438599999999</v>
      </c>
      <c r="C6" s="1">
        <f>_xll.GeodesiX.UDF.Geocode(C$1, $A6)</f>
        <v>-80.137317400000001</v>
      </c>
      <c r="D6" s="1" t="s">
        <v>106</v>
      </c>
      <c r="E6" s="1" t="s">
        <v>125</v>
      </c>
      <c r="F6" s="1" t="str">
        <f t="shared" si="0"/>
        <v>&lt;table&gt;&lt;tr&gt;&lt;td align=right&gt;Location&lt;/td&gt;&lt;td align=left&gt;Fort Lauderdale, FL&lt;/tr&gt;&lt;tr&gt;&lt;td align=right&gt;Facility&lt;/td&gt;&lt;td align=left&gt;Bar&lt;/tr&gt;&lt;tr&gt;&lt;td align=right&gt;Manager&lt;/td&gt;&lt;td align=left&gt;Marc Hatfield&lt;/tr&gt;&lt;tr&gt;&lt;td align=right&gt;Extension&lt;/td&gt;&lt;td align=left&gt;9457&lt;/tr&gt;&lt;tr&gt;&lt;td align=right&gt;Time&lt;/td&gt;&lt;td align=left&gt;05:00 New_York&lt;/tr&gt;&lt;tr&gt;&lt;td align=right&gt;Employees&lt;/td&gt;&lt;td align=left&gt;6&lt;/tr&gt;&lt;tr&gt;&lt;td align=right&gt;Revenue K$&lt;/td&gt;&lt;td align=left&gt;106&lt;/tr&gt;&lt;tr&gt;&lt;td align=right&gt;Ratio&lt;/td&gt;&lt;td align=left&gt;17&lt;/tr&gt;&lt;/table&gt;</v>
      </c>
      <c r="G6" s="1" t="str">
        <f t="shared" si="1"/>
        <v>Fort Lauderdale, FL</v>
      </c>
      <c r="H6" s="1" t="s">
        <v>266</v>
      </c>
      <c r="I6" s="1" t="s">
        <v>236</v>
      </c>
      <c r="J6" s="1">
        <v>9457</v>
      </c>
      <c r="K6" s="1" t="str">
        <f>TEXT(-_xll.GeodesiX.UDF.TimeOffset($B6, $C6),"hh:mm")&amp;" "&amp;MID(_xll.GeodesiX.UDF.TimeZone($B6, $C6),9,12)</f>
        <v>05:00 New_York</v>
      </c>
      <c r="L6" s="1">
        <v>6</v>
      </c>
      <c r="M6" s="2" t="s">
        <v>253</v>
      </c>
      <c r="N6" s="1">
        <f t="shared" si="2"/>
        <v>17</v>
      </c>
    </row>
    <row r="7" spans="1:14" ht="15" customHeight="1" x14ac:dyDescent="0.25">
      <c r="A7" s="1" t="s">
        <v>118</v>
      </c>
      <c r="B7" s="1">
        <f>_xll.GeodesiX.UDF.Geocode(B$1, $A7)</f>
        <v>35.227086900000003</v>
      </c>
      <c r="C7" s="1">
        <f>_xll.GeodesiX.UDF.Geocode(C$1, $A7)</f>
        <v>-80.843126699999999</v>
      </c>
      <c r="D7" s="1" t="s">
        <v>106</v>
      </c>
      <c r="E7" s="1" t="s">
        <v>125</v>
      </c>
      <c r="F7" s="1" t="str">
        <f t="shared" si="0"/>
        <v>&lt;table&gt;&lt;tr&gt;&lt;td align=right&gt;Location&lt;/td&gt;&lt;td align=left&gt;Charlotte, NC&lt;/tr&gt;&lt;tr&gt;&lt;td align=right&gt;Facility&lt;/td&gt;&lt;td align=left&gt;Bar&lt;/tr&gt;&lt;tr&gt;&lt;td align=right&gt;Manager&lt;/td&gt;&lt;td align=left&gt;Alfred Hoffman&lt;/tr&gt;&lt;tr&gt;&lt;td align=right&gt;Extension&lt;/td&gt;&lt;td align=left&gt;8186&lt;/tr&gt;&lt;tr&gt;&lt;td align=right&gt;Time&lt;/td&gt;&lt;td align=left&gt;05:00 New_York&lt;/tr&gt;&lt;tr&gt;&lt;td align=right&gt;Employees&lt;/td&gt;&lt;td align=left&gt;4&lt;/tr&gt;&lt;tr&gt;&lt;td align=right&gt;Revenue K$&lt;/td&gt;&lt;td align=left&gt;105&lt;/tr&gt;&lt;tr&gt;&lt;td align=right&gt;Ratio&lt;/td&gt;&lt;td align=left&gt;26&lt;/tr&gt;&lt;/table&gt;</v>
      </c>
      <c r="G7" s="1" t="str">
        <f t="shared" si="1"/>
        <v>Charlotte, NC</v>
      </c>
      <c r="H7" s="1" t="s">
        <v>266</v>
      </c>
      <c r="I7" s="1" t="s">
        <v>237</v>
      </c>
      <c r="J7" s="1">
        <v>8186</v>
      </c>
      <c r="K7" s="1" t="str">
        <f>TEXT(-_xll.GeodesiX.UDF.TimeOffset($B7, $C7),"hh:mm")&amp;" "&amp;MID(_xll.GeodesiX.UDF.TimeZone($B7, $C7),9,12)</f>
        <v>05:00 New_York</v>
      </c>
      <c r="L7" s="1">
        <v>4</v>
      </c>
      <c r="M7" s="2" t="s">
        <v>254</v>
      </c>
      <c r="N7" s="1">
        <f t="shared" si="2"/>
        <v>26</v>
      </c>
    </row>
    <row r="8" spans="1:14" ht="15" customHeight="1" x14ac:dyDescent="0.25">
      <c r="A8" s="1" t="s">
        <v>116</v>
      </c>
      <c r="B8" s="1">
        <f>_xll.GeodesiX.UDF.Geocode(B$1, $A8)</f>
        <v>33.748752000000003</v>
      </c>
      <c r="C8" s="1">
        <f>_xll.GeodesiX.UDF.Geocode(C$1, $A8)</f>
        <v>-84.387684500000006</v>
      </c>
      <c r="D8" s="1" t="s">
        <v>106</v>
      </c>
      <c r="E8" s="1" t="s">
        <v>125</v>
      </c>
      <c r="F8" s="1" t="str">
        <f t="shared" si="0"/>
        <v>&lt;table&gt;&lt;tr&gt;&lt;td align=right&gt;Location&lt;/td&gt;&lt;td align=left&gt;Atlanta, GA&lt;/tr&gt;&lt;tr&gt;&lt;td align=right&gt;Facility&lt;/td&gt;&lt;td align=left&gt;Bar&lt;/tr&gt;&lt;tr&gt;&lt;td align=right&gt;Manager&lt;/td&gt;&lt;td align=left&gt;Ralph Cotton&lt;/tr&gt;&lt;tr&gt;&lt;td align=right&gt;Extension&lt;/td&gt;&lt;td align=left&gt;2502&lt;/tr&gt;&lt;tr&gt;&lt;td align=right&gt;Time&lt;/td&gt;&lt;td align=left&gt;05:00 New_York&lt;/tr&gt;&lt;tr&gt;&lt;td align=right&gt;Employees&lt;/td&gt;&lt;td align=left&gt;7&lt;/tr&gt;&lt;tr&gt;&lt;td align=right&gt;Revenue K$&lt;/td&gt;&lt;td align=left&gt;110&lt;/tr&gt;&lt;tr&gt;&lt;td align=right&gt;Ratio&lt;/td&gt;&lt;td align=left&gt;15&lt;/tr&gt;&lt;/table&gt;</v>
      </c>
      <c r="G8" s="1" t="str">
        <f t="shared" si="1"/>
        <v>Atlanta, GA</v>
      </c>
      <c r="H8" s="1" t="s">
        <v>266</v>
      </c>
      <c r="I8" s="1" t="s">
        <v>235</v>
      </c>
      <c r="J8" s="1">
        <v>2502</v>
      </c>
      <c r="K8" s="1" t="str">
        <f>TEXT(-_xll.GeodesiX.UDF.TimeOffset($B8, $C8),"hh:mm")&amp;" "&amp;MID(_xll.GeodesiX.UDF.TimeZone($B8, $C8),9,12)</f>
        <v>05:00 New_York</v>
      </c>
      <c r="L8" s="1">
        <v>7</v>
      </c>
      <c r="M8" s="2" t="s">
        <v>255</v>
      </c>
      <c r="N8" s="1">
        <f t="shared" si="2"/>
        <v>15</v>
      </c>
    </row>
    <row r="9" spans="1:14" ht="15" customHeight="1" x14ac:dyDescent="0.25">
      <c r="A9" s="1" t="s">
        <v>109</v>
      </c>
      <c r="B9" s="1">
        <f>_xll.GeodesiX.UDF.Geocode(B$1, $A9)</f>
        <v>36.162663799999997</v>
      </c>
      <c r="C9" s="1">
        <f>_xll.GeodesiX.UDF.Geocode(C$1, $A9)</f>
        <v>-86.781601600000002</v>
      </c>
      <c r="D9" s="1" t="s">
        <v>108</v>
      </c>
      <c r="E9" s="1" t="s">
        <v>126</v>
      </c>
      <c r="F9" s="1" t="str">
        <f t="shared" si="0"/>
        <v>&lt;table&gt;&lt;tr&gt;&lt;td align=right&gt;Location&lt;/td&gt;&lt;td align=left&gt;Nashville, TE&lt;/tr&gt;&lt;tr&gt;&lt;td align=right&gt;Facility&lt;/td&gt;&lt;td align=left&gt;Brewery&lt;/tr&gt;&lt;tr&gt;&lt;td align=right&gt;Manager&lt;/td&gt;&lt;td align=left&gt;Allan Booker&lt;/tr&gt;&lt;tr&gt;&lt;td align=right&gt;Extension&lt;/td&gt;&lt;td align=left&gt;8959&lt;/tr&gt;&lt;tr&gt;&lt;td align=right&gt;Time&lt;/td&gt;&lt;td align=left&gt;06:00 Chicago&lt;/tr&gt;&lt;tr&gt;&lt;td align=right&gt;Employees&lt;/td&gt;&lt;td align=left&gt;98&lt;/tr&gt;&lt;tr&gt;&lt;td align=right&gt;Revenue K$&lt;/td&gt;&lt;td align=left&gt;2,100&lt;/tr&gt;&lt;tr&gt;&lt;td align=right&gt;Ratio&lt;/td&gt;&lt;td align=left&gt;21&lt;/tr&gt;&lt;/table&gt;</v>
      </c>
      <c r="G9" s="1" t="str">
        <f t="shared" si="1"/>
        <v>Nashville, TE</v>
      </c>
      <c r="H9" s="1" t="s">
        <v>267</v>
      </c>
      <c r="I9" s="1" t="s">
        <v>242</v>
      </c>
      <c r="J9" s="1">
        <v>8959</v>
      </c>
      <c r="K9" s="1" t="str">
        <f>TEXT(-_xll.GeodesiX.UDF.TimeOffset($B9, $C9),"hh:mm")&amp;" "&amp;MID(_xll.GeodesiX.UDF.TimeZone($B9, $C9),9,12)</f>
        <v>06:00 Chicago</v>
      </c>
      <c r="L9" s="1">
        <v>98</v>
      </c>
      <c r="M9" s="2" t="s">
        <v>256</v>
      </c>
      <c r="N9" s="1">
        <f t="shared" si="2"/>
        <v>21</v>
      </c>
    </row>
    <row r="10" spans="1:14" ht="15" customHeight="1" x14ac:dyDescent="0.25">
      <c r="A10" s="1" t="s">
        <v>115</v>
      </c>
      <c r="B10" s="1">
        <f>_xll.GeodesiX.UDF.Geocode(B$1, $A10)</f>
        <v>43.038902499999999</v>
      </c>
      <c r="C10" s="1">
        <f>_xll.GeodesiX.UDF.Geocode(C$1, $A10)</f>
        <v>-87.906473599999998</v>
      </c>
      <c r="D10" s="1" t="s">
        <v>106</v>
      </c>
      <c r="E10" s="1" t="s">
        <v>125</v>
      </c>
      <c r="F10" s="1" t="str">
        <f t="shared" si="0"/>
        <v>&lt;table&gt;&lt;tr&gt;&lt;td align=right&gt;Location&lt;/td&gt;&lt;td align=left&gt;Milwaukee, WI&lt;/tr&gt;&lt;tr&gt;&lt;td align=right&gt;Facility&lt;/td&gt;&lt;td align=left&gt;Bar&lt;/tr&gt;&lt;tr&gt;&lt;td align=right&gt;Manager&lt;/td&gt;&lt;td align=left&gt;Lincoln Mayer&lt;/tr&gt;&lt;tr&gt;&lt;td align=right&gt;Extension&lt;/td&gt;&lt;td align=left&gt;9028&lt;/tr&gt;&lt;tr&gt;&lt;td align=right&gt;Time&lt;/td&gt;&lt;td align=left&gt;06:00 Chicago&lt;/tr&gt;&lt;tr&gt;&lt;td align=right&gt;Employees&lt;/td&gt;&lt;td align=left&gt;7&lt;/tr&gt;&lt;tr&gt;&lt;td align=right&gt;Revenue K$&lt;/td&gt;&lt;td align=left&gt;174&lt;/tr&gt;&lt;tr&gt;&lt;td align=right&gt;Ratio&lt;/td&gt;&lt;td align=left&gt;24&lt;/tr&gt;&lt;/table&gt;</v>
      </c>
      <c r="G10" s="1" t="str">
        <f t="shared" si="1"/>
        <v>Milwaukee, WI</v>
      </c>
      <c r="H10" s="1" t="s">
        <v>266</v>
      </c>
      <c r="I10" s="1" t="s">
        <v>234</v>
      </c>
      <c r="J10" s="1">
        <v>9028</v>
      </c>
      <c r="K10" s="1" t="str">
        <f>TEXT(-_xll.GeodesiX.UDF.TimeOffset($B10, $C10),"hh:mm")&amp;" "&amp;MID(_xll.GeodesiX.UDF.TimeZone($B10, $C10),9,12)</f>
        <v>06:00 Chicago</v>
      </c>
      <c r="L10" s="1">
        <v>7</v>
      </c>
      <c r="M10" s="2" t="s">
        <v>257</v>
      </c>
      <c r="N10" s="1">
        <f t="shared" si="2"/>
        <v>24</v>
      </c>
    </row>
    <row r="11" spans="1:14" ht="15" customHeight="1" x14ac:dyDescent="0.25">
      <c r="A11" s="1" t="s">
        <v>114</v>
      </c>
      <c r="B11" s="1">
        <f>_xll.GeodesiX.UDF.Geocode(B$1, $A11)</f>
        <v>38.627002500000003</v>
      </c>
      <c r="C11" s="1">
        <f>_xll.GeodesiX.UDF.Geocode(C$1, $A11)</f>
        <v>-90.199404200000004</v>
      </c>
      <c r="D11" s="1" t="s">
        <v>106</v>
      </c>
      <c r="E11" s="1" t="s">
        <v>125</v>
      </c>
      <c r="F11" s="1" t="str">
        <f t="shared" si="0"/>
        <v>&lt;table&gt;&lt;tr&gt;&lt;td align=right&gt;Location&lt;/td&gt;&lt;td align=left&gt;St. Louis, MO&lt;/tr&gt;&lt;tr&gt;&lt;td align=right&gt;Facility&lt;/td&gt;&lt;td align=left&gt;Bar&lt;/tr&gt;&lt;tr&gt;&lt;td align=right&gt;Manager&lt;/td&gt;&lt;td align=left&gt;Russell Lang&lt;/tr&gt;&lt;tr&gt;&lt;td align=right&gt;Extension&lt;/td&gt;&lt;td align=left&gt;4903&lt;/tr&gt;&lt;tr&gt;&lt;td align=right&gt;Time&lt;/td&gt;&lt;td align=left&gt;06:00 Chicago&lt;/tr&gt;&lt;tr&gt;&lt;td align=right&gt;Employees&lt;/td&gt;&lt;td align=left&gt;5&lt;/tr&gt;&lt;tr&gt;&lt;td align=right&gt;Revenue K$&lt;/td&gt;&lt;td align=left&gt;155&lt;/tr&gt;&lt;tr&gt;&lt;td align=right&gt;Ratio&lt;/td&gt;&lt;td align=left&gt;31&lt;/tr&gt;&lt;/table&gt;</v>
      </c>
      <c r="G11" s="1" t="str">
        <f t="shared" si="1"/>
        <v>St. Louis, MO</v>
      </c>
      <c r="H11" s="1" t="s">
        <v>266</v>
      </c>
      <c r="I11" s="1" t="s">
        <v>233</v>
      </c>
      <c r="J11" s="1">
        <v>4903</v>
      </c>
      <c r="K11" s="1" t="str">
        <f>TEXT(-_xll.GeodesiX.UDF.TimeOffset($B11, $C11),"hh:mm")&amp;" "&amp;MID(_xll.GeodesiX.UDF.TimeZone($B11, $C11),9,12)</f>
        <v>06:00 Chicago</v>
      </c>
      <c r="L11" s="1">
        <v>5</v>
      </c>
      <c r="M11" s="2" t="s">
        <v>258</v>
      </c>
      <c r="N11" s="1">
        <f t="shared" si="2"/>
        <v>31</v>
      </c>
    </row>
    <row r="12" spans="1:14" ht="15" customHeight="1" x14ac:dyDescent="0.25">
      <c r="A12" s="1" t="s">
        <v>123</v>
      </c>
      <c r="B12" s="1">
        <f>_xll.GeodesiX.UDF.Geocode(B$1, $A12)</f>
        <v>44.977753</v>
      </c>
      <c r="C12" s="1">
        <f>_xll.GeodesiX.UDF.Geocode(C$1, $A12)</f>
        <v>-93.265010799999999</v>
      </c>
      <c r="D12" s="1" t="s">
        <v>124</v>
      </c>
      <c r="E12" s="1" t="s">
        <v>127</v>
      </c>
      <c r="F12" s="1" t="str">
        <f t="shared" si="0"/>
        <v>&lt;table&gt;&lt;tr&gt;&lt;td align=right&gt;Location&lt;/td&gt;&lt;td align=left&gt;Minneapolis, MN&lt;/tr&gt;&lt;tr&gt;&lt;td align=right&gt;Facility&lt;/td&gt;&lt;td align=left&gt;Head Office&lt;/tr&gt;&lt;tr&gt;&lt;td align=right&gt;Manager&lt;/td&gt;&lt;td align=left&gt;Nadia Holt&lt;/tr&gt;&lt;tr&gt;&lt;td align=right&gt;Extension&lt;/td&gt;&lt;td align=left&gt;7203&lt;/tr&gt;&lt;tr&gt;&lt;td align=right&gt;Time&lt;/td&gt;&lt;td align=left&gt;06:00 Chicago&lt;/tr&gt;&lt;tr&gt;&lt;td align=right&gt;Employees&lt;/td&gt;&lt;td align=left&gt;360&lt;/tr&gt;&lt;tr&gt;&lt;td align=right&gt;Revenue K$&lt;/td&gt;&lt;td align=left&gt;21,087&lt;/tr&gt;&lt;tr&gt;&lt;td align=right&gt;Ratio&lt;/td&gt;&lt;td align=left&gt;58&lt;/tr&gt;&lt;/table&gt;</v>
      </c>
      <c r="G12" s="1" t="str">
        <f t="shared" si="1"/>
        <v>Minneapolis, MN</v>
      </c>
      <c r="H12" s="1" t="s">
        <v>268</v>
      </c>
      <c r="I12" s="1" t="s">
        <v>244</v>
      </c>
      <c r="J12" s="1">
        <v>7203</v>
      </c>
      <c r="K12" s="1" t="str">
        <f>TEXT(-_xll.GeodesiX.UDF.TimeOffset($B12, $C12),"hh:mm")&amp;" "&amp;MID(_xll.GeodesiX.UDF.TimeZone($B12, $C12),9,12)</f>
        <v>06:00 Chicago</v>
      </c>
      <c r="L12" s="1">
        <v>360</v>
      </c>
      <c r="M12" s="2" t="s">
        <v>259</v>
      </c>
      <c r="N12" s="1">
        <f t="shared" si="2"/>
        <v>58</v>
      </c>
    </row>
    <row r="13" spans="1:14" ht="15" customHeight="1" x14ac:dyDescent="0.25">
      <c r="A13" s="1" t="s">
        <v>104</v>
      </c>
      <c r="B13" s="1">
        <f>_xll.GeodesiX.UDF.Geocode(B$1, $A13)</f>
        <v>29.7604267</v>
      </c>
      <c r="C13" s="1">
        <f>_xll.GeodesiX.UDF.Geocode(C$1, $A13)</f>
        <v>-95.369802800000002</v>
      </c>
      <c r="D13" s="1" t="s">
        <v>106</v>
      </c>
      <c r="E13" s="1" t="s">
        <v>125</v>
      </c>
      <c r="F13" s="1" t="str">
        <f t="shared" si="0"/>
        <v>&lt;table&gt;&lt;tr&gt;&lt;td align=right&gt;Location&lt;/td&gt;&lt;td align=left&gt;Houston, TX&lt;/tr&gt;&lt;tr&gt;&lt;td align=right&gt;Facility&lt;/td&gt;&lt;td align=left&gt;Bar&lt;/tr&gt;&lt;tr&gt;&lt;td align=right&gt;Manager&lt;/td&gt;&lt;td align=left&gt;Tobias Ballard&lt;/tr&gt;&lt;tr&gt;&lt;td align=right&gt;Extension&lt;/td&gt;&lt;td align=left&gt;1519&lt;/tr&gt;&lt;tr&gt;&lt;td align=right&gt;Time&lt;/td&gt;&lt;td align=left&gt;06:00 Chicago&lt;/tr&gt;&lt;tr&gt;&lt;td align=right&gt;Employees&lt;/td&gt;&lt;td align=left&gt;8&lt;/tr&gt;&lt;tr&gt;&lt;td align=right&gt;Revenue K$&lt;/td&gt;&lt;td align=left&gt;154&lt;/tr&gt;&lt;tr&gt;&lt;td align=right&gt;Ratio&lt;/td&gt;&lt;td align=left&gt;19&lt;/tr&gt;&lt;/table&gt;</v>
      </c>
      <c r="G13" s="1" t="str">
        <f t="shared" si="1"/>
        <v>Houston, TX</v>
      </c>
      <c r="H13" s="1" t="s">
        <v>266</v>
      </c>
      <c r="I13" s="1" t="s">
        <v>232</v>
      </c>
      <c r="J13" s="1">
        <v>1519</v>
      </c>
      <c r="K13" s="1" t="str">
        <f>TEXT(-_xll.GeodesiX.UDF.TimeOffset($B13, $C13),"hh:mm")&amp;" "&amp;MID(_xll.GeodesiX.UDF.TimeZone($B13, $C13),9,12)</f>
        <v>06:00 Chicago</v>
      </c>
      <c r="L13" s="1">
        <v>8</v>
      </c>
      <c r="M13" s="2" t="s">
        <v>260</v>
      </c>
      <c r="N13" s="1">
        <f t="shared" si="2"/>
        <v>19</v>
      </c>
    </row>
    <row r="14" spans="1:14" ht="15" customHeight="1" x14ac:dyDescent="0.25">
      <c r="A14" s="1" t="s">
        <v>102</v>
      </c>
      <c r="B14" s="1">
        <f>_xll.GeodesiX.UDF.Geocode(B$1, $A14)</f>
        <v>40.760779300000003</v>
      </c>
      <c r="C14" s="1">
        <f>_xll.GeodesiX.UDF.Geocode(C$1, $A14)</f>
        <v>-111.89104740000001</v>
      </c>
      <c r="D14" s="1" t="s">
        <v>106</v>
      </c>
      <c r="E14" s="1" t="s">
        <v>125</v>
      </c>
      <c r="F14" s="1" t="str">
        <f t="shared" si="0"/>
        <v>&lt;table&gt;&lt;tr&gt;&lt;td align=right&gt;Location&lt;/td&gt;&lt;td align=left&gt;Salt Lake City, UT&lt;/tr&gt;&lt;tr&gt;&lt;td align=right&gt;Facility&lt;/td&gt;&lt;td align=left&gt;Bar&lt;/tr&gt;&lt;tr&gt;&lt;td align=right&gt;Manager&lt;/td&gt;&lt;td align=left&gt;Melvin Manning&lt;/tr&gt;&lt;tr&gt;&lt;td align=right&gt;Extension&lt;/td&gt;&lt;td align=left&gt;6569&lt;/tr&gt;&lt;tr&gt;&lt;td align=right&gt;Time&lt;/td&gt;&lt;td align=left&gt;07:00 Denver&lt;/tr&gt;&lt;tr&gt;&lt;td align=right&gt;Employees&lt;/td&gt;&lt;td align=left&gt;10&lt;/tr&gt;&lt;tr&gt;&lt;td align=right&gt;Revenue K$&lt;/td&gt;&lt;td align=left&gt;141&lt;/tr&gt;&lt;tr&gt;&lt;td align=right&gt;Ratio&lt;/td&gt;&lt;td align=left&gt;14&lt;/tr&gt;&lt;/table&gt;</v>
      </c>
      <c r="G14" s="1" t="str">
        <f t="shared" si="1"/>
        <v>Salt Lake City, UT</v>
      </c>
      <c r="H14" s="1" t="s">
        <v>266</v>
      </c>
      <c r="I14" s="1" t="s">
        <v>231</v>
      </c>
      <c r="J14" s="1">
        <v>6569</v>
      </c>
      <c r="K14" s="1" t="str">
        <f>TEXT(-_xll.GeodesiX.UDF.TimeOffset($B14, $C14),"hh:mm")&amp;" "&amp;MID(_xll.GeodesiX.UDF.TimeZone($B14, $C14),9,12)</f>
        <v>07:00 Denver</v>
      </c>
      <c r="L14" s="1">
        <v>10</v>
      </c>
      <c r="M14" s="2" t="s">
        <v>261</v>
      </c>
      <c r="N14" s="1">
        <f t="shared" si="2"/>
        <v>14</v>
      </c>
    </row>
    <row r="15" spans="1:14" ht="15" customHeight="1" x14ac:dyDescent="0.25">
      <c r="A15" s="1" t="s">
        <v>107</v>
      </c>
      <c r="B15" s="1">
        <f>_xll.GeodesiX.UDF.Geocode(B$1, $A15)</f>
        <v>33.448377100000002</v>
      </c>
      <c r="C15" s="1">
        <f>_xll.GeodesiX.UDF.Geocode(C$1, $A15)</f>
        <v>-112.0740373</v>
      </c>
      <c r="D15" s="1" t="s">
        <v>108</v>
      </c>
      <c r="E15" s="1" t="s">
        <v>126</v>
      </c>
      <c r="F15" s="1" t="str">
        <f t="shared" si="0"/>
        <v>&lt;table&gt;&lt;tr&gt;&lt;td align=right&gt;Location&lt;/td&gt;&lt;td align=left&gt;Phoenix, AZ&lt;/tr&gt;&lt;tr&gt;&lt;td align=right&gt;Facility&lt;/td&gt;&lt;td align=left&gt;Brewery&lt;/tr&gt;&lt;tr&gt;&lt;td align=right&gt;Manager&lt;/td&gt;&lt;td align=left&gt;Henry Noble&lt;/tr&gt;&lt;tr&gt;&lt;td align=right&gt;Extension&lt;/td&gt;&lt;td align=left&gt;3070&lt;/tr&gt;&lt;tr&gt;&lt;td align=right&gt;Time&lt;/td&gt;&lt;td align=left&gt;07:00 Phoenix&lt;/tr&gt;&lt;tr&gt;&lt;td align=right&gt;Employees&lt;/td&gt;&lt;td align=left&gt;109&lt;/tr&gt;&lt;tr&gt;&lt;td align=right&gt;Revenue K$&lt;/td&gt;&lt;td align=left&gt;5,227&lt;/tr&gt;&lt;tr&gt;&lt;td align=right&gt;Ratio&lt;/td&gt;&lt;td align=left&gt;47&lt;/tr&gt;&lt;/table&gt;</v>
      </c>
      <c r="G15" s="1" t="str">
        <f t="shared" si="1"/>
        <v>Phoenix, AZ</v>
      </c>
      <c r="H15" s="1" t="s">
        <v>267</v>
      </c>
      <c r="I15" s="1" t="s">
        <v>241</v>
      </c>
      <c r="J15" s="1">
        <v>3070</v>
      </c>
      <c r="K15" s="1" t="str">
        <f>TEXT(-_xll.GeodesiX.UDF.TimeOffset($B15, $C15),"hh:mm")&amp;" "&amp;MID(_xll.GeodesiX.UDF.TimeZone($B15, $C15),9,12)</f>
        <v>07:00 Phoenix</v>
      </c>
      <c r="L15" s="1">
        <v>109</v>
      </c>
      <c r="M15" s="2" t="s">
        <v>262</v>
      </c>
      <c r="N15" s="1">
        <f t="shared" si="2"/>
        <v>47</v>
      </c>
    </row>
    <row r="16" spans="1:14" ht="15" customHeight="1" x14ac:dyDescent="0.25">
      <c r="A16" s="1" t="s">
        <v>113</v>
      </c>
      <c r="B16" s="1">
        <f>_xll.GeodesiX.UDF.Geocode(B$1, $A16)</f>
        <v>36.171562999999999</v>
      </c>
      <c r="C16" s="1">
        <f>_xll.GeodesiX.UDF.Geocode(C$1, $A16)</f>
        <v>-115.1391009</v>
      </c>
      <c r="D16" s="1" t="s">
        <v>106</v>
      </c>
      <c r="E16" s="1" t="s">
        <v>125</v>
      </c>
      <c r="F16" s="1" t="str">
        <f t="shared" si="0"/>
        <v>&lt;table&gt;&lt;tr&gt;&lt;td align=right&gt;Location&lt;/td&gt;&lt;td align=left&gt;Las Vegas, NV&lt;/tr&gt;&lt;tr&gt;&lt;td align=right&gt;Facility&lt;/td&gt;&lt;td align=left&gt;Bar&lt;/tr&gt;&lt;tr&gt;&lt;td align=right&gt;Manager&lt;/td&gt;&lt;td align=left&gt;Phillip Pollard&lt;/tr&gt;&lt;tr&gt;&lt;td align=right&gt;Extension&lt;/td&gt;&lt;td align=left&gt;9269&lt;/tr&gt;&lt;tr&gt;&lt;td align=right&gt;Time&lt;/td&gt;&lt;td align=left&gt;08:00 Los_Angeles&lt;/tr&gt;&lt;tr&gt;&lt;td align=right&gt;Employees&lt;/td&gt;&lt;td align=left&gt;9&lt;/tr&gt;&lt;tr&gt;&lt;td align=right&gt;Revenue K$&lt;/td&gt;&lt;td align=left&gt;156&lt;/tr&gt;&lt;tr&gt;&lt;td align=right&gt;Ratio&lt;/td&gt;&lt;td align=left&gt;17&lt;/tr&gt;&lt;/table&gt;</v>
      </c>
      <c r="G16" s="1" t="str">
        <f t="shared" si="1"/>
        <v>Las Vegas, NV</v>
      </c>
      <c r="H16" s="1" t="s">
        <v>266</v>
      </c>
      <c r="I16" s="1" t="s">
        <v>230</v>
      </c>
      <c r="J16" s="1">
        <v>9269</v>
      </c>
      <c r="K16" s="1" t="str">
        <f>TEXT(-_xll.GeodesiX.UDF.TimeOffset($B16, $C16),"hh:mm")&amp;" "&amp;MID(_xll.GeodesiX.UDF.TimeZone($B16, $C16),9,12)</f>
        <v>08:00 Los_Angeles</v>
      </c>
      <c r="L16" s="1">
        <v>9</v>
      </c>
      <c r="M16" s="2" t="s">
        <v>263</v>
      </c>
      <c r="N16" s="1">
        <f t="shared" si="2"/>
        <v>17</v>
      </c>
    </row>
    <row r="17" spans="1:14" ht="15" customHeight="1" x14ac:dyDescent="0.25">
      <c r="A17" s="1" t="s">
        <v>112</v>
      </c>
      <c r="B17" s="1">
        <f>_xll.GeodesiX.UDF.Geocode(B$1, $A17)</f>
        <v>37.774929499999999</v>
      </c>
      <c r="C17" s="1">
        <f>_xll.GeodesiX.UDF.Geocode(C$1, $A17)</f>
        <v>-122.4194155</v>
      </c>
      <c r="D17" s="1" t="s">
        <v>106</v>
      </c>
      <c r="E17" s="1" t="s">
        <v>125</v>
      </c>
      <c r="F17" s="1" t="str">
        <f t="shared" si="0"/>
        <v>&lt;table&gt;&lt;tr&gt;&lt;td align=right&gt;Location&lt;/td&gt;&lt;td align=left&gt;San Francisco, CA&lt;/tr&gt;&lt;tr&gt;&lt;td align=right&gt;Facility&lt;/td&gt;&lt;td align=left&gt;Bar&lt;/tr&gt;&lt;tr&gt;&lt;td align=right&gt;Manager&lt;/td&gt;&lt;td align=left&gt;Linda Terrell&lt;/tr&gt;&lt;tr&gt;&lt;td align=right&gt;Extension&lt;/td&gt;&lt;td align=left&gt;2871&lt;/tr&gt;&lt;tr&gt;&lt;td align=right&gt;Time&lt;/td&gt;&lt;td align=left&gt;08:00 Los_Angeles&lt;/tr&gt;&lt;tr&gt;&lt;td align=right&gt;Employees&lt;/td&gt;&lt;td align=left&gt;6&lt;/tr&gt;&lt;tr&gt;&lt;td align=right&gt;Revenue K$&lt;/td&gt;&lt;td align=left&gt;104&lt;/tr&gt;&lt;tr&gt;&lt;td align=right&gt;Ratio&lt;/td&gt;&lt;td align=left&gt;17&lt;/tr&gt;&lt;/table&gt;</v>
      </c>
      <c r="G17" s="1" t="str">
        <f t="shared" si="1"/>
        <v>San Francisco, CA</v>
      </c>
      <c r="H17" s="1" t="s">
        <v>266</v>
      </c>
      <c r="I17" s="1" t="s">
        <v>229</v>
      </c>
      <c r="J17" s="1">
        <v>2871</v>
      </c>
      <c r="K17" s="1" t="str">
        <f>TEXT(-_xll.GeodesiX.UDF.TimeOffset($B17, $C17),"hh:mm")&amp;" "&amp;MID(_xll.GeodesiX.UDF.TimeZone($B17, $C17),9,12)</f>
        <v>08:00 Los_Angeles</v>
      </c>
      <c r="L17" s="1">
        <v>6</v>
      </c>
      <c r="M17" s="2" t="s">
        <v>264</v>
      </c>
      <c r="N17" s="1">
        <f t="shared" si="2"/>
        <v>17</v>
      </c>
    </row>
    <row r="18" spans="1:14" ht="15" customHeight="1" x14ac:dyDescent="0.25">
      <c r="A18" s="1" t="s">
        <v>273</v>
      </c>
      <c r="B18" s="1">
        <f>_xll.GeodesiX.UDF.Geocode(B$1, $A18)</f>
        <v>46.408336200000001</v>
      </c>
      <c r="C18" s="1">
        <f>_xll.GeodesiX.UDF.Geocode(C$1, $A18)</f>
        <v>-105.8405582</v>
      </c>
      <c r="D18" s="1" t="s">
        <v>106</v>
      </c>
      <c r="E18" s="1" t="s">
        <v>125</v>
      </c>
      <c r="F18" s="1" t="str">
        <f t="shared" si="0"/>
        <v>&lt;table&gt;&lt;tr&gt;&lt;td align=right&gt;Location&lt;/td&gt;&lt;td align=left&gt;Miles City, MN&lt;/tr&gt;&lt;tr&gt;&lt;td align=right&gt;Facility&lt;/td&gt;&lt;td align=left&gt;Bar&lt;/tr&gt;&lt;tr&gt;&lt;td align=right&gt;Manager&lt;/td&gt;&lt;td align=left&gt;Linda Terrell&lt;/tr&gt;&lt;tr&gt;&lt;td align=right&gt;Extension&lt;/td&gt;&lt;td align=left&gt;2872&lt;/tr&gt;&lt;tr&gt;&lt;td align=right&gt;Time&lt;/td&gt;&lt;td align=left&gt;07:00 Denver&lt;/tr&gt;&lt;tr&gt;&lt;td align=right&gt;Employees&lt;/td&gt;&lt;td align=left&gt;7&lt;/tr&gt;&lt;tr&gt;&lt;td align=right&gt;Revenue K$&lt;/td&gt;&lt;td align=left&gt;105&lt;/tr&gt;&lt;tr&gt;&lt;td align=right&gt;Ratio&lt;/td&gt;&lt;td align=left&gt;15&lt;/tr&gt;&lt;/table&gt;</v>
      </c>
      <c r="G18" s="1" t="str">
        <f t="shared" si="1"/>
        <v>Miles City, MN</v>
      </c>
      <c r="H18" s="1" t="s">
        <v>266</v>
      </c>
      <c r="I18" s="1" t="s">
        <v>229</v>
      </c>
      <c r="J18" s="1">
        <v>2872</v>
      </c>
      <c r="K18" s="1" t="str">
        <f>TEXT(-_xll.GeodesiX.UDF.TimeOffset($B18, $C18),"hh:mm")&amp;" "&amp;MID(_xll.GeodesiX.UDF.TimeZone($B18, $C18),9,12)</f>
        <v>07:00 Denver</v>
      </c>
      <c r="L18" s="1">
        <v>7</v>
      </c>
      <c r="M18" s="2" t="s">
        <v>254</v>
      </c>
      <c r="N18" s="1">
        <f t="shared" ref="N18" si="3">INT(M18/L18)</f>
        <v>15</v>
      </c>
    </row>
    <row r="19" spans="1:14" ht="15" customHeight="1" x14ac:dyDescent="0.25">
      <c r="A19" s="1" t="s">
        <v>272</v>
      </c>
      <c r="B19" s="1">
        <v>1</v>
      </c>
      <c r="C19" s="1">
        <v>1</v>
      </c>
      <c r="D19" s="1" t="s">
        <v>283</v>
      </c>
      <c r="F19" s="3" t="s">
        <v>284</v>
      </c>
    </row>
    <row r="20" spans="1:14" ht="15" customHeight="1" x14ac:dyDescent="0.25">
      <c r="A20" s="1" t="s">
        <v>274</v>
      </c>
      <c r="B20" s="1">
        <v>1</v>
      </c>
      <c r="C20" s="1">
        <v>1</v>
      </c>
      <c r="D20" s="1" t="s">
        <v>283</v>
      </c>
      <c r="F20" s="3" t="s">
        <v>282</v>
      </c>
    </row>
    <row r="21" spans="1:14" ht="15" customHeight="1" x14ac:dyDescent="0.25"/>
    <row r="22" spans="1:14" ht="15" customHeight="1" x14ac:dyDescent="0.25"/>
    <row r="23" spans="1:14" ht="15" customHeight="1" x14ac:dyDescent="0.25"/>
  </sheetData>
  <sortState xmlns:xlrd2="http://schemas.microsoft.com/office/spreadsheetml/2017/richdata2" ref="A2:K17">
    <sortCondition descending="1" ref="C2:C17"/>
  </sortState>
  <phoneticPr fontId="2" type="noConversion"/>
  <pageMargins left="0.7" right="0.7" top="0.75" bottom="0.75" header="0.3" footer="0.3"/>
  <customProperties>
    <customPr name="display" r:id="rId1"/>
    <customPr name="id" r:id="rId2"/>
    <customPr name="mapstyle" r:id="rId3"/>
    <customPr name="PaneHeight" r:id="rId4"/>
    <customPr name="PaneWidth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AE195-5A90-43D3-A36A-5220B799F6B6}">
  <sheetPr codeName="Sheet2"/>
  <dimension ref="A1:S47"/>
  <sheetViews>
    <sheetView workbookViewId="0"/>
  </sheetViews>
  <sheetFormatPr defaultRowHeight="15" x14ac:dyDescent="0.25"/>
  <sheetData>
    <row r="1" spans="1:19" x14ac:dyDescent="0.25">
      <c r="A1">
        <v>48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129</v>
      </c>
      <c r="I1" t="s">
        <v>9</v>
      </c>
      <c r="J1" t="s">
        <v>2</v>
      </c>
      <c r="K1" t="s">
        <v>0</v>
      </c>
      <c r="L1" t="s">
        <v>10</v>
      </c>
      <c r="M1" t="s">
        <v>11</v>
      </c>
      <c r="N1" t="s">
        <v>1</v>
      </c>
      <c r="O1" t="s">
        <v>130</v>
      </c>
      <c r="P1" t="s">
        <v>12</v>
      </c>
      <c r="Q1" t="s">
        <v>13</v>
      </c>
      <c r="R1" t="s">
        <v>14</v>
      </c>
      <c r="S1" t="s">
        <v>3</v>
      </c>
    </row>
    <row r="2" spans="1:19" x14ac:dyDescent="0.25">
      <c r="A2" t="s">
        <v>15</v>
      </c>
      <c r="B2" t="s">
        <v>16</v>
      </c>
      <c r="C2" t="s">
        <v>17</v>
      </c>
      <c r="D2" t="s">
        <v>18</v>
      </c>
      <c r="F2" t="s">
        <v>19</v>
      </c>
      <c r="G2" t="s">
        <v>20</v>
      </c>
      <c r="I2" t="s">
        <v>21</v>
      </c>
      <c r="J2" t="s">
        <v>22</v>
      </c>
      <c r="K2">
        <v>26.142147000000001</v>
      </c>
      <c r="L2" t="s">
        <v>23</v>
      </c>
      <c r="M2" t="s">
        <v>24</v>
      </c>
      <c r="N2">
        <v>-80.176346699999996</v>
      </c>
      <c r="P2" t="s">
        <v>25</v>
      </c>
      <c r="Q2">
        <v>33311</v>
      </c>
      <c r="R2" t="s">
        <v>26</v>
      </c>
    </row>
    <row r="3" spans="1:19" x14ac:dyDescent="0.25">
      <c r="A3" t="s">
        <v>27</v>
      </c>
      <c r="B3" t="s">
        <v>16</v>
      </c>
      <c r="F3" t="s">
        <v>28</v>
      </c>
      <c r="G3" t="s">
        <v>29</v>
      </c>
      <c r="I3" t="s">
        <v>21</v>
      </c>
      <c r="J3" t="s">
        <v>21</v>
      </c>
      <c r="K3">
        <v>37.090240000000001</v>
      </c>
      <c r="M3" t="s">
        <v>24</v>
      </c>
      <c r="N3">
        <v>-95.712890999999999</v>
      </c>
      <c r="P3" t="s">
        <v>30</v>
      </c>
    </row>
    <row r="4" spans="1:19" x14ac:dyDescent="0.25">
      <c r="A4" t="s">
        <v>31</v>
      </c>
      <c r="B4" t="s">
        <v>16</v>
      </c>
      <c r="C4" t="s">
        <v>32</v>
      </c>
      <c r="F4" t="s">
        <v>33</v>
      </c>
      <c r="G4" t="s">
        <v>34</v>
      </c>
      <c r="I4" t="s">
        <v>21</v>
      </c>
      <c r="J4" t="s">
        <v>35</v>
      </c>
      <c r="K4">
        <v>32.157435100000001</v>
      </c>
      <c r="M4" t="s">
        <v>24</v>
      </c>
      <c r="N4">
        <v>-82.907122999999999</v>
      </c>
      <c r="P4" t="s">
        <v>36</v>
      </c>
    </row>
    <row r="5" spans="1:19" x14ac:dyDescent="0.25">
      <c r="A5" t="s">
        <v>37</v>
      </c>
      <c r="B5" t="s">
        <v>16</v>
      </c>
      <c r="C5" t="s">
        <v>38</v>
      </c>
      <c r="F5" t="s">
        <v>39</v>
      </c>
      <c r="G5" t="s">
        <v>40</v>
      </c>
      <c r="I5" t="s">
        <v>21</v>
      </c>
      <c r="J5" t="s">
        <v>41</v>
      </c>
      <c r="K5">
        <v>35.759573099999997</v>
      </c>
      <c r="M5" t="s">
        <v>24</v>
      </c>
      <c r="N5">
        <v>-79.019299700000005</v>
      </c>
      <c r="P5" t="s">
        <v>42</v>
      </c>
    </row>
    <row r="6" spans="1:19" x14ac:dyDescent="0.25">
      <c r="A6" t="s">
        <v>43</v>
      </c>
      <c r="B6" t="s">
        <v>16</v>
      </c>
      <c r="F6" t="s">
        <v>28</v>
      </c>
      <c r="G6" t="s">
        <v>29</v>
      </c>
      <c r="I6" t="s">
        <v>21</v>
      </c>
      <c r="J6" t="s">
        <v>21</v>
      </c>
      <c r="K6">
        <v>37.090240000000001</v>
      </c>
      <c r="M6" t="s">
        <v>24</v>
      </c>
      <c r="N6">
        <v>-95.712890999999999</v>
      </c>
      <c r="P6" t="s">
        <v>30</v>
      </c>
    </row>
    <row r="7" spans="1:19" x14ac:dyDescent="0.25">
      <c r="A7" t="s">
        <v>44</v>
      </c>
      <c r="B7" t="s">
        <v>16</v>
      </c>
      <c r="F7" t="s">
        <v>28</v>
      </c>
      <c r="G7" t="s">
        <v>29</v>
      </c>
      <c r="I7" t="s">
        <v>21</v>
      </c>
      <c r="J7" t="s">
        <v>21</v>
      </c>
      <c r="K7">
        <v>37.090240000000001</v>
      </c>
      <c r="M7" t="s">
        <v>24</v>
      </c>
      <c r="N7">
        <v>-95.712890999999999</v>
      </c>
      <c r="P7" t="s">
        <v>30</v>
      </c>
    </row>
    <row r="8" spans="1:19" x14ac:dyDescent="0.25">
      <c r="A8" t="s">
        <v>45</v>
      </c>
      <c r="B8" t="s">
        <v>16</v>
      </c>
      <c r="C8" t="s">
        <v>46</v>
      </c>
      <c r="D8" t="s">
        <v>47</v>
      </c>
      <c r="E8" t="s">
        <v>48</v>
      </c>
      <c r="F8" t="s">
        <v>49</v>
      </c>
      <c r="G8" t="s">
        <v>50</v>
      </c>
      <c r="I8" t="s">
        <v>21</v>
      </c>
      <c r="J8" t="s">
        <v>51</v>
      </c>
      <c r="K8">
        <v>38.754495200000001</v>
      </c>
      <c r="L8" t="s">
        <v>52</v>
      </c>
      <c r="M8" t="s">
        <v>24</v>
      </c>
      <c r="N8">
        <v>-90.331225599999996</v>
      </c>
      <c r="P8" t="s">
        <v>53</v>
      </c>
    </row>
    <row r="9" spans="1:19" x14ac:dyDescent="0.25">
      <c r="A9" t="s">
        <v>54</v>
      </c>
      <c r="B9" t="s">
        <v>16</v>
      </c>
      <c r="C9" t="s">
        <v>55</v>
      </c>
      <c r="F9" t="s">
        <v>56</v>
      </c>
      <c r="G9" t="s">
        <v>57</v>
      </c>
      <c r="I9" t="s">
        <v>21</v>
      </c>
      <c r="J9" t="s">
        <v>58</v>
      </c>
      <c r="K9">
        <v>39.045754899999999</v>
      </c>
      <c r="M9" t="s">
        <v>24</v>
      </c>
      <c r="N9">
        <v>-76.641271200000006</v>
      </c>
      <c r="P9" t="s">
        <v>59</v>
      </c>
    </row>
    <row r="10" spans="1:19" x14ac:dyDescent="0.25">
      <c r="A10" t="s">
        <v>60</v>
      </c>
      <c r="B10" t="s">
        <v>16</v>
      </c>
      <c r="F10" t="s">
        <v>28</v>
      </c>
      <c r="G10" t="s">
        <v>29</v>
      </c>
      <c r="I10" t="s">
        <v>21</v>
      </c>
      <c r="J10" t="s">
        <v>21</v>
      </c>
      <c r="K10">
        <v>37.090240000000001</v>
      </c>
      <c r="M10" t="s">
        <v>24</v>
      </c>
      <c r="N10">
        <v>-95.712890999999999</v>
      </c>
      <c r="P10" t="s">
        <v>30</v>
      </c>
    </row>
    <row r="11" spans="1:19" x14ac:dyDescent="0.25">
      <c r="A11" t="s">
        <v>61</v>
      </c>
      <c r="B11" t="s">
        <v>16</v>
      </c>
      <c r="F11" t="s">
        <v>28</v>
      </c>
      <c r="G11" t="s">
        <v>29</v>
      </c>
      <c r="I11" t="s">
        <v>21</v>
      </c>
      <c r="J11" t="s">
        <v>21</v>
      </c>
      <c r="K11">
        <v>37.090240000000001</v>
      </c>
      <c r="M11" t="s">
        <v>24</v>
      </c>
      <c r="N11">
        <v>-95.712890999999999</v>
      </c>
      <c r="P11" t="s">
        <v>30</v>
      </c>
    </row>
    <row r="12" spans="1:19" x14ac:dyDescent="0.25">
      <c r="A12" t="s">
        <v>62</v>
      </c>
      <c r="B12" t="s">
        <v>16</v>
      </c>
      <c r="C12" t="s">
        <v>63</v>
      </c>
      <c r="D12" t="s">
        <v>64</v>
      </c>
      <c r="F12" t="s">
        <v>65</v>
      </c>
      <c r="G12" t="s">
        <v>66</v>
      </c>
      <c r="I12" t="s">
        <v>21</v>
      </c>
      <c r="J12" t="s">
        <v>67</v>
      </c>
      <c r="K12">
        <v>40.984878399999999</v>
      </c>
      <c r="M12" t="s">
        <v>24</v>
      </c>
      <c r="N12">
        <v>-72.615116900000004</v>
      </c>
      <c r="P12" t="s">
        <v>68</v>
      </c>
    </row>
    <row r="13" spans="1:19" x14ac:dyDescent="0.25">
      <c r="A13" t="s">
        <v>69</v>
      </c>
      <c r="B13" t="s">
        <v>16</v>
      </c>
      <c r="C13" t="s">
        <v>70</v>
      </c>
      <c r="D13" t="s">
        <v>71</v>
      </c>
      <c r="F13" t="s">
        <v>72</v>
      </c>
      <c r="G13" t="s">
        <v>73</v>
      </c>
      <c r="I13" t="s">
        <v>21</v>
      </c>
      <c r="J13" t="s">
        <v>74</v>
      </c>
      <c r="K13">
        <v>42.387596799999997</v>
      </c>
      <c r="L13" t="s">
        <v>75</v>
      </c>
      <c r="M13" t="s">
        <v>24</v>
      </c>
      <c r="N13">
        <v>-71.099496799999997</v>
      </c>
      <c r="P13" t="s">
        <v>76</v>
      </c>
    </row>
    <row r="14" spans="1:19" x14ac:dyDescent="0.25">
      <c r="A14" t="s">
        <v>77</v>
      </c>
      <c r="B14" t="s">
        <v>16</v>
      </c>
      <c r="C14" t="s">
        <v>78</v>
      </c>
      <c r="D14" t="s">
        <v>79</v>
      </c>
      <c r="F14" t="s">
        <v>80</v>
      </c>
      <c r="G14" t="s">
        <v>81</v>
      </c>
      <c r="I14" t="s">
        <v>21</v>
      </c>
      <c r="J14" t="s">
        <v>82</v>
      </c>
      <c r="K14">
        <v>43.0724667</v>
      </c>
      <c r="M14" t="s">
        <v>24</v>
      </c>
      <c r="N14">
        <v>-87.618637899999996</v>
      </c>
      <c r="P14" t="s">
        <v>83</v>
      </c>
    </row>
    <row r="15" spans="1:19" x14ac:dyDescent="0.25">
      <c r="A15" t="s">
        <v>84</v>
      </c>
      <c r="B15" t="s">
        <v>16</v>
      </c>
      <c r="F15" t="s">
        <v>85</v>
      </c>
      <c r="G15" t="s">
        <v>86</v>
      </c>
      <c r="I15" t="s">
        <v>87</v>
      </c>
      <c r="J15" t="s">
        <v>87</v>
      </c>
      <c r="K15">
        <v>56.130366000000002</v>
      </c>
      <c r="M15" t="s">
        <v>24</v>
      </c>
      <c r="N15">
        <v>-106.346771</v>
      </c>
      <c r="P15" t="s">
        <v>88</v>
      </c>
    </row>
    <row r="16" spans="1:19" x14ac:dyDescent="0.25">
      <c r="A16" t="s">
        <v>97</v>
      </c>
      <c r="B16" t="s">
        <v>16</v>
      </c>
      <c r="C16" t="s">
        <v>32</v>
      </c>
      <c r="D16" t="s">
        <v>131</v>
      </c>
      <c r="F16" t="s">
        <v>132</v>
      </c>
      <c r="G16" t="s">
        <v>133</v>
      </c>
      <c r="I16" t="s">
        <v>21</v>
      </c>
      <c r="J16" t="s">
        <v>134</v>
      </c>
      <c r="K16">
        <v>33.748752000000003</v>
      </c>
      <c r="L16" t="s">
        <v>97</v>
      </c>
      <c r="M16" t="s">
        <v>24</v>
      </c>
      <c r="N16">
        <v>-84.387684500000006</v>
      </c>
      <c r="P16" t="s">
        <v>135</v>
      </c>
    </row>
    <row r="17" spans="1:17" x14ac:dyDescent="0.25">
      <c r="A17" t="s">
        <v>116</v>
      </c>
      <c r="B17" t="s">
        <v>16</v>
      </c>
      <c r="C17" t="s">
        <v>32</v>
      </c>
      <c r="D17" t="s">
        <v>131</v>
      </c>
      <c r="F17" t="s">
        <v>132</v>
      </c>
      <c r="G17" t="s">
        <v>133</v>
      </c>
      <c r="I17" t="s">
        <v>21</v>
      </c>
      <c r="J17" t="s">
        <v>134</v>
      </c>
      <c r="K17">
        <v>33.748752000000003</v>
      </c>
      <c r="L17" t="s">
        <v>97</v>
      </c>
      <c r="M17" t="s">
        <v>24</v>
      </c>
      <c r="N17">
        <v>-84.387684500000006</v>
      </c>
      <c r="P17" t="s">
        <v>135</v>
      </c>
    </row>
    <row r="18" spans="1:17" x14ac:dyDescent="0.25">
      <c r="A18" t="s">
        <v>94</v>
      </c>
      <c r="B18" t="s">
        <v>16</v>
      </c>
      <c r="C18" t="s">
        <v>46</v>
      </c>
      <c r="D18" t="s">
        <v>47</v>
      </c>
      <c r="E18" t="s">
        <v>48</v>
      </c>
      <c r="F18" t="s">
        <v>49</v>
      </c>
      <c r="G18" t="s">
        <v>50</v>
      </c>
      <c r="I18" t="s">
        <v>21</v>
      </c>
      <c r="J18" t="s">
        <v>51</v>
      </c>
      <c r="K18">
        <v>38.754495200000001</v>
      </c>
      <c r="L18" t="s">
        <v>52</v>
      </c>
      <c r="M18" t="s">
        <v>24</v>
      </c>
      <c r="N18">
        <v>-90.331225599999996</v>
      </c>
      <c r="P18" t="s">
        <v>53</v>
      </c>
    </row>
    <row r="19" spans="1:17" x14ac:dyDescent="0.25">
      <c r="A19" t="s">
        <v>101</v>
      </c>
      <c r="B19" t="s">
        <v>16</v>
      </c>
      <c r="C19" t="s">
        <v>70</v>
      </c>
      <c r="D19" t="s">
        <v>64</v>
      </c>
      <c r="F19" t="s">
        <v>136</v>
      </c>
      <c r="G19" t="s">
        <v>137</v>
      </c>
      <c r="I19" t="s">
        <v>21</v>
      </c>
      <c r="J19" t="s">
        <v>138</v>
      </c>
      <c r="K19">
        <v>42.360082499999997</v>
      </c>
      <c r="L19" t="s">
        <v>101</v>
      </c>
      <c r="M19" t="s">
        <v>24</v>
      </c>
      <c r="N19">
        <v>-71.058880099999996</v>
      </c>
      <c r="P19" t="s">
        <v>139</v>
      </c>
    </row>
    <row r="20" spans="1:17" x14ac:dyDescent="0.25">
      <c r="A20" t="s">
        <v>121</v>
      </c>
      <c r="B20" t="s">
        <v>16</v>
      </c>
      <c r="C20" t="s">
        <v>70</v>
      </c>
      <c r="D20" t="s">
        <v>64</v>
      </c>
      <c r="F20" t="s">
        <v>136</v>
      </c>
      <c r="G20" t="s">
        <v>137</v>
      </c>
      <c r="I20" t="s">
        <v>21</v>
      </c>
      <c r="J20" t="s">
        <v>138</v>
      </c>
      <c r="K20">
        <v>42.360082499999997</v>
      </c>
      <c r="L20" t="s">
        <v>101</v>
      </c>
      <c r="M20" t="s">
        <v>24</v>
      </c>
      <c r="N20">
        <v>-71.058880099999996</v>
      </c>
      <c r="P20" t="s">
        <v>139</v>
      </c>
    </row>
    <row r="21" spans="1:17" x14ac:dyDescent="0.25">
      <c r="A21" t="s">
        <v>99</v>
      </c>
      <c r="B21" t="s">
        <v>16</v>
      </c>
      <c r="C21" t="s">
        <v>38</v>
      </c>
      <c r="D21" t="s">
        <v>140</v>
      </c>
      <c r="F21" t="s">
        <v>141</v>
      </c>
      <c r="G21" t="s">
        <v>142</v>
      </c>
      <c r="I21" t="s">
        <v>21</v>
      </c>
      <c r="J21" t="s">
        <v>143</v>
      </c>
      <c r="K21">
        <v>35.227086900000003</v>
      </c>
      <c r="L21" t="s">
        <v>99</v>
      </c>
      <c r="M21" t="s">
        <v>24</v>
      </c>
      <c r="N21">
        <v>-80.843126699999999</v>
      </c>
      <c r="P21" t="s">
        <v>144</v>
      </c>
    </row>
    <row r="22" spans="1:17" x14ac:dyDescent="0.25">
      <c r="A22" t="s">
        <v>118</v>
      </c>
      <c r="B22" t="s">
        <v>16</v>
      </c>
      <c r="C22" t="s">
        <v>38</v>
      </c>
      <c r="D22" t="s">
        <v>140</v>
      </c>
      <c r="F22" t="s">
        <v>141</v>
      </c>
      <c r="G22" t="s">
        <v>142</v>
      </c>
      <c r="I22" t="s">
        <v>21</v>
      </c>
      <c r="J22" t="s">
        <v>143</v>
      </c>
      <c r="K22">
        <v>35.227086900000003</v>
      </c>
      <c r="L22" t="s">
        <v>99</v>
      </c>
      <c r="M22" t="s">
        <v>24</v>
      </c>
      <c r="N22">
        <v>-80.843126699999999</v>
      </c>
      <c r="P22" t="s">
        <v>144</v>
      </c>
    </row>
    <row r="23" spans="1:17" x14ac:dyDescent="0.25">
      <c r="A23" t="s">
        <v>92</v>
      </c>
      <c r="B23" t="s">
        <v>16</v>
      </c>
      <c r="C23" t="s">
        <v>145</v>
      </c>
      <c r="D23" t="s">
        <v>146</v>
      </c>
      <c r="F23" t="s">
        <v>147</v>
      </c>
      <c r="G23" t="s">
        <v>148</v>
      </c>
      <c r="I23" t="s">
        <v>21</v>
      </c>
      <c r="J23" t="s">
        <v>149</v>
      </c>
      <c r="K23">
        <v>39.739235800000003</v>
      </c>
      <c r="L23" t="s">
        <v>92</v>
      </c>
      <c r="M23" t="s">
        <v>24</v>
      </c>
      <c r="N23">
        <v>-104.990251</v>
      </c>
      <c r="P23" t="s">
        <v>150</v>
      </c>
    </row>
    <row r="24" spans="1:17" x14ac:dyDescent="0.25">
      <c r="A24" t="s">
        <v>103</v>
      </c>
      <c r="B24" t="s">
        <v>16</v>
      </c>
      <c r="C24" t="s">
        <v>145</v>
      </c>
      <c r="D24" t="s">
        <v>146</v>
      </c>
      <c r="F24" t="s">
        <v>147</v>
      </c>
      <c r="G24" t="s">
        <v>148</v>
      </c>
      <c r="I24" t="s">
        <v>21</v>
      </c>
      <c r="J24" t="s">
        <v>149</v>
      </c>
      <c r="K24">
        <v>39.739235800000003</v>
      </c>
      <c r="L24" t="s">
        <v>92</v>
      </c>
      <c r="M24" t="s">
        <v>24</v>
      </c>
      <c r="N24">
        <v>-104.990251</v>
      </c>
      <c r="P24" t="s">
        <v>150</v>
      </c>
    </row>
    <row r="25" spans="1:17" x14ac:dyDescent="0.25">
      <c r="A25" t="s">
        <v>98</v>
      </c>
      <c r="B25" t="s">
        <v>16</v>
      </c>
      <c r="C25" t="s">
        <v>17</v>
      </c>
      <c r="D25" t="s">
        <v>18</v>
      </c>
      <c r="F25" t="s">
        <v>151</v>
      </c>
      <c r="G25" t="s">
        <v>152</v>
      </c>
      <c r="I25" t="s">
        <v>21</v>
      </c>
      <c r="J25" t="s">
        <v>153</v>
      </c>
      <c r="K25">
        <v>26.122438599999999</v>
      </c>
      <c r="L25" t="s">
        <v>98</v>
      </c>
      <c r="M25" t="s">
        <v>24</v>
      </c>
      <c r="N25">
        <v>-80.137317400000001</v>
      </c>
      <c r="P25" t="s">
        <v>154</v>
      </c>
    </row>
    <row r="26" spans="1:17" x14ac:dyDescent="0.25">
      <c r="A26" t="s">
        <v>117</v>
      </c>
      <c r="B26" t="s">
        <v>16</v>
      </c>
      <c r="C26" t="s">
        <v>17</v>
      </c>
      <c r="D26" t="s">
        <v>18</v>
      </c>
      <c r="F26" t="s">
        <v>151</v>
      </c>
      <c r="G26" t="s">
        <v>152</v>
      </c>
      <c r="I26" t="s">
        <v>21</v>
      </c>
      <c r="J26" t="s">
        <v>153</v>
      </c>
      <c r="K26">
        <v>26.122438599999999</v>
      </c>
      <c r="L26" t="s">
        <v>98</v>
      </c>
      <c r="M26" t="s">
        <v>24</v>
      </c>
      <c r="N26">
        <v>-80.137317400000001</v>
      </c>
      <c r="P26" t="s">
        <v>154</v>
      </c>
    </row>
    <row r="27" spans="1:17" x14ac:dyDescent="0.25">
      <c r="A27" t="s">
        <v>93</v>
      </c>
      <c r="B27" t="s">
        <v>16</v>
      </c>
      <c r="C27" t="s">
        <v>155</v>
      </c>
      <c r="D27" t="s">
        <v>156</v>
      </c>
      <c r="F27" t="s">
        <v>157</v>
      </c>
      <c r="G27" t="s">
        <v>158</v>
      </c>
      <c r="I27" t="s">
        <v>21</v>
      </c>
      <c r="J27" t="s">
        <v>159</v>
      </c>
      <c r="K27">
        <v>29.7604267</v>
      </c>
      <c r="L27" t="s">
        <v>93</v>
      </c>
      <c r="M27" t="s">
        <v>24</v>
      </c>
      <c r="N27">
        <v>-95.369802800000002</v>
      </c>
      <c r="P27" t="s">
        <v>160</v>
      </c>
    </row>
    <row r="28" spans="1:17" x14ac:dyDescent="0.25">
      <c r="A28" t="s">
        <v>104</v>
      </c>
      <c r="B28" t="s">
        <v>16</v>
      </c>
      <c r="C28" t="s">
        <v>155</v>
      </c>
      <c r="D28" t="s">
        <v>156</v>
      </c>
      <c r="F28" t="s">
        <v>157</v>
      </c>
      <c r="G28" t="s">
        <v>158</v>
      </c>
      <c r="I28" t="s">
        <v>21</v>
      </c>
      <c r="J28" t="s">
        <v>159</v>
      </c>
      <c r="K28">
        <v>29.7604267</v>
      </c>
      <c r="L28" t="s">
        <v>93</v>
      </c>
      <c r="M28" t="s">
        <v>24</v>
      </c>
      <c r="N28">
        <v>-95.369802800000002</v>
      </c>
      <c r="P28" t="s">
        <v>160</v>
      </c>
    </row>
    <row r="29" spans="1:17" x14ac:dyDescent="0.25">
      <c r="A29" t="s">
        <v>90</v>
      </c>
      <c r="B29" t="s">
        <v>16</v>
      </c>
      <c r="C29" t="s">
        <v>161</v>
      </c>
      <c r="D29" t="s">
        <v>162</v>
      </c>
      <c r="F29" t="s">
        <v>163</v>
      </c>
      <c r="G29" t="s">
        <v>164</v>
      </c>
      <c r="I29" t="s">
        <v>21</v>
      </c>
      <c r="J29" t="s">
        <v>165</v>
      </c>
      <c r="K29">
        <v>36.171562999999999</v>
      </c>
      <c r="L29" t="s">
        <v>90</v>
      </c>
      <c r="M29" t="s">
        <v>24</v>
      </c>
      <c r="N29">
        <v>-115.1391009</v>
      </c>
      <c r="P29" t="s">
        <v>166</v>
      </c>
    </row>
    <row r="30" spans="1:17" x14ac:dyDescent="0.25">
      <c r="A30" t="s">
        <v>113</v>
      </c>
      <c r="B30" t="s">
        <v>16</v>
      </c>
      <c r="C30" t="s">
        <v>161</v>
      </c>
      <c r="D30" t="s">
        <v>162</v>
      </c>
      <c r="F30" t="s">
        <v>163</v>
      </c>
      <c r="G30" t="s">
        <v>164</v>
      </c>
      <c r="I30" t="s">
        <v>21</v>
      </c>
      <c r="J30" t="s">
        <v>165</v>
      </c>
      <c r="K30">
        <v>36.171562999999999</v>
      </c>
      <c r="L30" t="s">
        <v>90</v>
      </c>
      <c r="M30" t="s">
        <v>24</v>
      </c>
      <c r="N30">
        <v>-115.1391009</v>
      </c>
      <c r="P30" t="s">
        <v>166</v>
      </c>
    </row>
    <row r="31" spans="1:17" x14ac:dyDescent="0.25">
      <c r="A31" t="s">
        <v>273</v>
      </c>
      <c r="B31" t="s">
        <v>16</v>
      </c>
      <c r="C31" t="s">
        <v>275</v>
      </c>
      <c r="D31" t="s">
        <v>276</v>
      </c>
      <c r="F31" t="s">
        <v>277</v>
      </c>
      <c r="G31" t="s">
        <v>278</v>
      </c>
      <c r="I31" t="s">
        <v>21</v>
      </c>
      <c r="J31" t="s">
        <v>279</v>
      </c>
      <c r="K31">
        <v>46.408336200000001</v>
      </c>
      <c r="L31" t="s">
        <v>280</v>
      </c>
      <c r="M31" t="s">
        <v>24</v>
      </c>
      <c r="N31">
        <v>-105.8405582</v>
      </c>
      <c r="P31" t="s">
        <v>281</v>
      </c>
      <c r="Q31">
        <v>59301</v>
      </c>
    </row>
    <row r="32" spans="1:17" x14ac:dyDescent="0.25">
      <c r="A32" t="s">
        <v>96</v>
      </c>
      <c r="B32" t="s">
        <v>16</v>
      </c>
      <c r="C32" t="s">
        <v>78</v>
      </c>
      <c r="D32" t="s">
        <v>79</v>
      </c>
      <c r="F32" t="s">
        <v>167</v>
      </c>
      <c r="G32" t="s">
        <v>168</v>
      </c>
      <c r="I32" t="s">
        <v>21</v>
      </c>
      <c r="J32" t="s">
        <v>169</v>
      </c>
      <c r="K32">
        <v>43.038902499999999</v>
      </c>
      <c r="L32" t="s">
        <v>96</v>
      </c>
      <c r="M32" t="s">
        <v>24</v>
      </c>
      <c r="N32">
        <v>-87.906473599999998</v>
      </c>
      <c r="P32" t="s">
        <v>170</v>
      </c>
    </row>
    <row r="33" spans="1:16" x14ac:dyDescent="0.25">
      <c r="A33" t="s">
        <v>115</v>
      </c>
      <c r="B33" t="s">
        <v>16</v>
      </c>
      <c r="C33" t="s">
        <v>78</v>
      </c>
      <c r="D33" t="s">
        <v>79</v>
      </c>
      <c r="F33" t="s">
        <v>167</v>
      </c>
      <c r="G33" t="s">
        <v>168</v>
      </c>
      <c r="I33" t="s">
        <v>21</v>
      </c>
      <c r="J33" t="s">
        <v>169</v>
      </c>
      <c r="K33">
        <v>43.038902499999999</v>
      </c>
      <c r="L33" t="s">
        <v>96</v>
      </c>
      <c r="M33" t="s">
        <v>24</v>
      </c>
      <c r="N33">
        <v>-87.906473599999998</v>
      </c>
      <c r="P33" t="s">
        <v>170</v>
      </c>
    </row>
    <row r="34" spans="1:16" x14ac:dyDescent="0.25">
      <c r="A34" t="s">
        <v>123</v>
      </c>
      <c r="B34" t="s">
        <v>16</v>
      </c>
      <c r="C34" t="s">
        <v>171</v>
      </c>
      <c r="D34" t="s">
        <v>172</v>
      </c>
      <c r="F34" t="s">
        <v>173</v>
      </c>
      <c r="G34" t="s">
        <v>174</v>
      </c>
      <c r="I34" t="s">
        <v>21</v>
      </c>
      <c r="J34" t="s">
        <v>175</v>
      </c>
      <c r="K34">
        <v>44.977753</v>
      </c>
      <c r="L34" t="s">
        <v>122</v>
      </c>
      <c r="M34" t="s">
        <v>24</v>
      </c>
      <c r="N34">
        <v>-93.265010799999999</v>
      </c>
      <c r="P34" t="s">
        <v>176</v>
      </c>
    </row>
    <row r="35" spans="1:16" x14ac:dyDescent="0.25">
      <c r="A35" t="s">
        <v>109</v>
      </c>
      <c r="B35" t="s">
        <v>16</v>
      </c>
      <c r="C35" t="s">
        <v>177</v>
      </c>
      <c r="D35" t="s">
        <v>178</v>
      </c>
      <c r="F35" t="s">
        <v>179</v>
      </c>
      <c r="G35" t="s">
        <v>180</v>
      </c>
      <c r="I35" t="s">
        <v>21</v>
      </c>
      <c r="J35" t="s">
        <v>181</v>
      </c>
      <c r="K35">
        <v>36.162663799999997</v>
      </c>
      <c r="L35" t="s">
        <v>182</v>
      </c>
      <c r="M35" t="s">
        <v>24</v>
      </c>
      <c r="N35">
        <v>-86.781601600000002</v>
      </c>
      <c r="O35" t="b">
        <v>1</v>
      </c>
      <c r="P35" t="s">
        <v>183</v>
      </c>
    </row>
    <row r="36" spans="1:16" x14ac:dyDescent="0.25">
      <c r="A36" t="s">
        <v>63</v>
      </c>
      <c r="B36" t="s">
        <v>16</v>
      </c>
      <c r="C36" t="s">
        <v>63</v>
      </c>
      <c r="F36" t="s">
        <v>184</v>
      </c>
      <c r="G36" t="s">
        <v>185</v>
      </c>
      <c r="I36" t="s">
        <v>21</v>
      </c>
      <c r="J36" t="s">
        <v>186</v>
      </c>
      <c r="K36">
        <v>40.712775299999997</v>
      </c>
      <c r="L36" t="s">
        <v>63</v>
      </c>
      <c r="M36" t="s">
        <v>24</v>
      </c>
      <c r="N36">
        <v>-74.005972799999995</v>
      </c>
      <c r="P36" t="s">
        <v>187</v>
      </c>
    </row>
    <row r="37" spans="1:16" x14ac:dyDescent="0.25">
      <c r="A37" t="s">
        <v>120</v>
      </c>
      <c r="B37" t="s">
        <v>16</v>
      </c>
      <c r="C37" t="s">
        <v>63</v>
      </c>
      <c r="F37" t="s">
        <v>184</v>
      </c>
      <c r="G37" t="s">
        <v>185</v>
      </c>
      <c r="I37" t="s">
        <v>21</v>
      </c>
      <c r="J37" t="s">
        <v>186</v>
      </c>
      <c r="K37">
        <v>40.712775299999997</v>
      </c>
      <c r="L37" t="s">
        <v>63</v>
      </c>
      <c r="M37" t="s">
        <v>24</v>
      </c>
      <c r="N37">
        <v>-74.005972799999995</v>
      </c>
      <c r="P37" t="s">
        <v>187</v>
      </c>
    </row>
    <row r="38" spans="1:16" x14ac:dyDescent="0.25">
      <c r="A38" t="s">
        <v>107</v>
      </c>
      <c r="B38" t="s">
        <v>16</v>
      </c>
      <c r="C38" t="s">
        <v>188</v>
      </c>
      <c r="D38" t="s">
        <v>189</v>
      </c>
      <c r="F38" t="s">
        <v>190</v>
      </c>
      <c r="G38" t="s">
        <v>191</v>
      </c>
      <c r="I38" t="s">
        <v>21</v>
      </c>
      <c r="J38" t="s">
        <v>192</v>
      </c>
      <c r="K38">
        <v>33.448377100000002</v>
      </c>
      <c r="L38" t="s">
        <v>193</v>
      </c>
      <c r="M38" t="s">
        <v>24</v>
      </c>
      <c r="N38">
        <v>-112.0740373</v>
      </c>
      <c r="P38" t="s">
        <v>194</v>
      </c>
    </row>
    <row r="39" spans="1:16" x14ac:dyDescent="0.25">
      <c r="A39" t="s">
        <v>111</v>
      </c>
      <c r="B39" t="s">
        <v>16</v>
      </c>
      <c r="C39" t="s">
        <v>195</v>
      </c>
      <c r="D39" t="s">
        <v>196</v>
      </c>
      <c r="F39" t="s">
        <v>197</v>
      </c>
      <c r="G39" t="s">
        <v>198</v>
      </c>
      <c r="I39" t="s">
        <v>21</v>
      </c>
      <c r="J39" t="s">
        <v>199</v>
      </c>
      <c r="K39">
        <v>40.440624800000002</v>
      </c>
      <c r="L39" t="s">
        <v>110</v>
      </c>
      <c r="M39" t="s">
        <v>24</v>
      </c>
      <c r="N39">
        <v>-79.995886400000003</v>
      </c>
      <c r="P39" t="s">
        <v>200</v>
      </c>
    </row>
    <row r="40" spans="1:16" x14ac:dyDescent="0.25">
      <c r="A40" t="s">
        <v>91</v>
      </c>
      <c r="B40" t="s">
        <v>16</v>
      </c>
      <c r="C40" t="s">
        <v>201</v>
      </c>
      <c r="D40" t="s">
        <v>202</v>
      </c>
      <c r="F40" t="s">
        <v>203</v>
      </c>
      <c r="G40" t="s">
        <v>204</v>
      </c>
      <c r="I40" t="s">
        <v>21</v>
      </c>
      <c r="J40" t="s">
        <v>205</v>
      </c>
      <c r="K40">
        <v>40.760779300000003</v>
      </c>
      <c r="L40" t="s">
        <v>91</v>
      </c>
      <c r="M40" t="s">
        <v>24</v>
      </c>
      <c r="N40">
        <v>-111.89104740000001</v>
      </c>
      <c r="P40" t="s">
        <v>206</v>
      </c>
    </row>
    <row r="41" spans="1:16" x14ac:dyDescent="0.25">
      <c r="A41" t="s">
        <v>102</v>
      </c>
      <c r="B41" t="s">
        <v>16</v>
      </c>
      <c r="C41" t="s">
        <v>201</v>
      </c>
      <c r="D41" t="s">
        <v>202</v>
      </c>
      <c r="F41" t="s">
        <v>203</v>
      </c>
      <c r="G41" t="s">
        <v>204</v>
      </c>
      <c r="I41" t="s">
        <v>21</v>
      </c>
      <c r="J41" t="s">
        <v>205</v>
      </c>
      <c r="K41">
        <v>40.760779300000003</v>
      </c>
      <c r="L41" t="s">
        <v>91</v>
      </c>
      <c r="M41" t="s">
        <v>24</v>
      </c>
      <c r="N41">
        <v>-111.89104740000001</v>
      </c>
      <c r="P41" t="s">
        <v>206</v>
      </c>
    </row>
    <row r="42" spans="1:16" x14ac:dyDescent="0.25">
      <c r="A42" t="s">
        <v>89</v>
      </c>
      <c r="B42" t="s">
        <v>16</v>
      </c>
      <c r="C42" t="s">
        <v>207</v>
      </c>
      <c r="F42" t="s">
        <v>208</v>
      </c>
      <c r="G42" t="s">
        <v>209</v>
      </c>
      <c r="H42" t="s">
        <v>210</v>
      </c>
      <c r="I42" t="s">
        <v>21</v>
      </c>
      <c r="J42" t="s">
        <v>211</v>
      </c>
      <c r="K42">
        <v>37.827178400000001</v>
      </c>
      <c r="M42" t="s">
        <v>24</v>
      </c>
      <c r="N42">
        <v>-122.2913078</v>
      </c>
      <c r="P42" t="s">
        <v>212</v>
      </c>
    </row>
    <row r="43" spans="1:16" x14ac:dyDescent="0.25">
      <c r="A43" t="s">
        <v>112</v>
      </c>
      <c r="B43" t="s">
        <v>16</v>
      </c>
      <c r="C43" t="s">
        <v>207</v>
      </c>
      <c r="D43" t="s">
        <v>213</v>
      </c>
      <c r="F43" t="s">
        <v>214</v>
      </c>
      <c r="G43" t="s">
        <v>215</v>
      </c>
      <c r="I43" t="s">
        <v>21</v>
      </c>
      <c r="J43" t="s">
        <v>216</v>
      </c>
      <c r="K43">
        <v>37.774929499999999</v>
      </c>
      <c r="L43" t="s">
        <v>89</v>
      </c>
      <c r="M43" t="s">
        <v>24</v>
      </c>
      <c r="N43">
        <v>-122.4194155</v>
      </c>
      <c r="P43" t="s">
        <v>217</v>
      </c>
    </row>
    <row r="44" spans="1:16" x14ac:dyDescent="0.25">
      <c r="A44" t="s">
        <v>95</v>
      </c>
      <c r="B44" t="s">
        <v>16</v>
      </c>
      <c r="C44" t="s">
        <v>46</v>
      </c>
      <c r="F44" t="s">
        <v>218</v>
      </c>
      <c r="G44" t="s">
        <v>219</v>
      </c>
      <c r="I44" t="s">
        <v>21</v>
      </c>
      <c r="J44" t="s">
        <v>220</v>
      </c>
      <c r="K44">
        <v>38.627002500000003</v>
      </c>
      <c r="L44" t="s">
        <v>95</v>
      </c>
      <c r="M44" t="s">
        <v>24</v>
      </c>
      <c r="N44">
        <v>-90.199404200000004</v>
      </c>
      <c r="P44" t="s">
        <v>221</v>
      </c>
    </row>
    <row r="45" spans="1:16" x14ac:dyDescent="0.25">
      <c r="A45" t="s">
        <v>114</v>
      </c>
      <c r="B45" t="s">
        <v>16</v>
      </c>
      <c r="C45" t="s">
        <v>46</v>
      </c>
      <c r="F45" t="s">
        <v>218</v>
      </c>
      <c r="G45" t="s">
        <v>219</v>
      </c>
      <c r="I45" t="s">
        <v>21</v>
      </c>
      <c r="J45" t="s">
        <v>220</v>
      </c>
      <c r="K45">
        <v>38.627002500000003</v>
      </c>
      <c r="L45" t="s">
        <v>95</v>
      </c>
      <c r="M45" t="s">
        <v>24</v>
      </c>
      <c r="N45">
        <v>-90.199404200000004</v>
      </c>
      <c r="P45" t="s">
        <v>221</v>
      </c>
    </row>
    <row r="46" spans="1:16" x14ac:dyDescent="0.25">
      <c r="A46" t="s">
        <v>100</v>
      </c>
      <c r="B46" t="s">
        <v>16</v>
      </c>
      <c r="C46" t="s">
        <v>222</v>
      </c>
      <c r="D46" t="s">
        <v>222</v>
      </c>
      <c r="F46" t="s">
        <v>223</v>
      </c>
      <c r="G46" t="s">
        <v>224</v>
      </c>
      <c r="I46" t="s">
        <v>21</v>
      </c>
      <c r="J46" t="s">
        <v>225</v>
      </c>
      <c r="K46">
        <v>38.907192299999998</v>
      </c>
      <c r="L46" t="s">
        <v>226</v>
      </c>
      <c r="M46" t="s">
        <v>24</v>
      </c>
      <c r="N46">
        <v>-77.036870699999994</v>
      </c>
      <c r="P46" t="s">
        <v>227</v>
      </c>
    </row>
    <row r="47" spans="1:16" x14ac:dyDescent="0.25">
      <c r="A47" t="s">
        <v>119</v>
      </c>
      <c r="B47" t="s">
        <v>16</v>
      </c>
      <c r="C47" t="s">
        <v>222</v>
      </c>
      <c r="D47" t="s">
        <v>222</v>
      </c>
      <c r="F47" t="s">
        <v>223</v>
      </c>
      <c r="G47" t="s">
        <v>224</v>
      </c>
      <c r="I47" t="s">
        <v>21</v>
      </c>
      <c r="J47" t="s">
        <v>225</v>
      </c>
      <c r="K47">
        <v>38.907192299999998</v>
      </c>
      <c r="L47" t="s">
        <v>226</v>
      </c>
      <c r="M47" t="s">
        <v>24</v>
      </c>
      <c r="N47">
        <v>-77.036870699999994</v>
      </c>
      <c r="P47" t="s">
        <v>227</v>
      </c>
    </row>
  </sheetData>
  <pageMargins left="0.7" right="0.7" top="0.75" bottom="0.75" header="0.3" footer="0.3"/>
  <customProperties>
    <customPr name="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Offices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Maurice Calvert</dc:creator>
  <cp:lastModifiedBy>Maurice Calvert</cp:lastModifiedBy>
  <dcterms:created xsi:type="dcterms:W3CDTF">2024-05-02T14:49:26Z</dcterms:created>
  <dcterms:modified xsi:type="dcterms:W3CDTF">2024-05-30T07:43:29Z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uid">
    <vt:lpwstr>427fde60-013e-4e1e-8864-6f45d6c4adce</vt:lpwstr>
  </property>
  <property fmtid="{D5CDD505-2E9C-101B-9397-08002B2CF9AE}" pid="3" name="DrawingSettings">
    <vt:lpwstr>[_x000d_
  {_x000d_
    "Key": "align",_x000d_
    "Value": "Centre"_x000d_
  },_x000d_
  {_x000d_
    "Key": "arrow",_x000d_
    "Value": ""_x000d_
  },_x000d_
  {_x000d_
    "Key": "arrowColor",_x000d_
    "Value": "Blue"_x000d_
  },_x000d_
  {_x000d_
    "Key": "arrowSize",_x000d_
    "Value": "6"_x000d_
  },_x000d_
  {_x000d_
    "Key": "icon",_x000d_
    "Value": "$Push_Pin"_x000d_
  },_x000d_
  {_x000d_
    "Key": "iconColor",_x000d_
    "Value": "Red"_x000d_
  },_x000d_
  {_x000d_
    "Key": "iconSize",_x000d_
    "Value": "24"_x000d_
  },_x000d_
  {_x000d_
    "Key": "lineTitle",_x000d_
    "Value": ""_x000d_
  },_x000d_
  {_x000d_
    "Key": "strokeColor",_x000d_
    "Value": "Red"_x000d_
  },_x000d_
  {_x000d_
    "Key": "strokeOpacity",_x000d_
    "Value": "1"_x000d_
  },_x000d_
  {_x000d_
    "Key": "strokeWeight",_x000d_
    "Value": "0"_x000d_
  },_x000d_
  {_x000d_
    "Key": "symbols",_x000d_
    "Value": "outlined"_x000d_
  },_x000d_
  {_x000d_
    "Key": "title",_x000d_
    "Value": ""_x000d_
  }_x000d_
]</vt:lpwstr>
  </property>
  <property fmtid="{D5CDD505-2E9C-101B-9397-08002B2CF9AE}" pid="4" name="align">
    <vt:lpwstr/>
  </property>
  <property fmtid="{D5CDD505-2E9C-101B-9397-08002B2CF9AE}" pid="5" name="arrow">
    <vt:lpwstr/>
  </property>
  <property fmtid="{D5CDD505-2E9C-101B-9397-08002B2CF9AE}" pid="6" name="arrowColor">
    <vt:lpwstr/>
  </property>
  <property fmtid="{D5CDD505-2E9C-101B-9397-08002B2CF9AE}" pid="7" name="arrowSize">
    <vt:lpwstr/>
  </property>
  <property fmtid="{D5CDD505-2E9C-101B-9397-08002B2CF9AE}" pid="8" name="icon">
    <vt:lpwstr/>
  </property>
  <property fmtid="{D5CDD505-2E9C-101B-9397-08002B2CF9AE}" pid="9" name="iconColor">
    <vt:lpwstr/>
  </property>
  <property fmtid="{D5CDD505-2E9C-101B-9397-08002B2CF9AE}" pid="10" name="iconSize">
    <vt:lpwstr/>
  </property>
  <property fmtid="{D5CDD505-2E9C-101B-9397-08002B2CF9AE}" pid="11" name="lineTitle">
    <vt:lpwstr/>
  </property>
  <property fmtid="{D5CDD505-2E9C-101B-9397-08002B2CF9AE}" pid="12" name="strokeColor">
    <vt:lpwstr/>
  </property>
  <property fmtid="{D5CDD505-2E9C-101B-9397-08002B2CF9AE}" pid="13" name="strokeOpacity">
    <vt:lpwstr/>
  </property>
  <property fmtid="{D5CDD505-2E9C-101B-9397-08002B2CF9AE}" pid="14" name="strokeWeight">
    <vt:lpwstr/>
  </property>
  <property fmtid="{D5CDD505-2E9C-101B-9397-08002B2CF9AE}" pid="15" name="symbols">
    <vt:lpwstr/>
  </property>
  <property fmtid="{D5CDD505-2E9C-101B-9397-08002B2CF9AE}" pid="16" name="title">
    <vt:lpwstr/>
  </property>
</Properties>
</file>