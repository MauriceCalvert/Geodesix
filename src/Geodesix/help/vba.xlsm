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2.xml" ContentType="application/vnd.openxmlformats-officedocument.drawing+xml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Geodesix 4.2.2\Geodesix\help\"/>
    </mc:Choice>
  </mc:AlternateContent>
  <xr:revisionPtr revIDLastSave="0" documentId="13_ncr:1_{7780F35C-A1AF-4FCD-84FA-C981AC565316}" xr6:coauthVersionLast="47" xr6:coauthVersionMax="47" xr10:uidLastSave="{00000000-0000-0000-0000-000000000000}"/>
  <bookViews>
    <workbookView xWindow="38280" yWindow="-120" windowWidth="25440" windowHeight="15540" xr2:uid="{00000000-000D-0000-FFFF-FFFF00000000}"/>
  </bookViews>
  <sheets>
    <sheet name="VBASamples" sheetId="1" r:id="rId1"/>
    <sheet name="ComboRanges" sheetId="2" r:id="rId2"/>
    <sheet name="Europe" sheetId="5" r:id="rId3"/>
    <sheet name="$GeoCache$" sheetId="6" state="veryHidden" r:id="rId4"/>
  </sheets>
  <functionGroups builtInGroupCount="19"/>
  <definedNames>
    <definedName name="_xlnm._FilterDatabase" localSheetId="2" hidden="1">Europe!$A$1:$V$1</definedName>
    <definedName name="Languages">ComboRanges!$B$1:$B$5</definedName>
    <definedName name="Positions">ComboRanges!$C$1:$C$4</definedName>
    <definedName name="Regions">ComboRanges!$D$1:$D$6</definedName>
    <definedName name="TrueFalse">ComboRanges!$A$1:$A$2</definedName>
  </definedNames>
  <calcPr calcId="181029"/>
</workbook>
</file>

<file path=xl/calcChain.xml><?xml version="1.0" encoding="utf-8"?>
<calcChain xmlns="http://schemas.openxmlformats.org/spreadsheetml/2006/main">
  <c r="V27" i="5" l="1"/>
  <c r="U27" i="5"/>
  <c r="T27" i="5"/>
  <c r="S27" i="5"/>
  <c r="R27" i="5"/>
  <c r="Q27" i="5"/>
  <c r="P27" i="5"/>
  <c r="O27" i="5"/>
  <c r="E27" i="5" s="1"/>
  <c r="A27" i="5"/>
  <c r="V26" i="5"/>
  <c r="U26" i="5"/>
  <c r="T26" i="5"/>
  <c r="S26" i="5"/>
  <c r="R26" i="5"/>
  <c r="Q26" i="5"/>
  <c r="P26" i="5"/>
  <c r="O26" i="5"/>
  <c r="A26" i="5"/>
  <c r="V25" i="5"/>
  <c r="U25" i="5"/>
  <c r="T25" i="5"/>
  <c r="S25" i="5"/>
  <c r="R25" i="5"/>
  <c r="Q25" i="5"/>
  <c r="P25" i="5"/>
  <c r="O25" i="5"/>
  <c r="E25" i="5" s="1"/>
  <c r="A25" i="5"/>
  <c r="V24" i="5"/>
  <c r="E24" i="5" s="1"/>
  <c r="U24" i="5"/>
  <c r="T24" i="5"/>
  <c r="S24" i="5"/>
  <c r="R24" i="5"/>
  <c r="Q24" i="5"/>
  <c r="P24" i="5"/>
  <c r="O24" i="5"/>
  <c r="A24" i="5"/>
  <c r="V23" i="5"/>
  <c r="U23" i="5"/>
  <c r="T23" i="5"/>
  <c r="S23" i="5"/>
  <c r="R23" i="5"/>
  <c r="Q23" i="5"/>
  <c r="P23" i="5"/>
  <c r="O23" i="5"/>
  <c r="E23" i="5" s="1"/>
  <c r="A23" i="5"/>
  <c r="V22" i="5"/>
  <c r="U22" i="5"/>
  <c r="T22" i="5"/>
  <c r="S22" i="5"/>
  <c r="R22" i="5"/>
  <c r="Q22" i="5"/>
  <c r="P22" i="5"/>
  <c r="E22" i="5" s="1"/>
  <c r="O22" i="5"/>
  <c r="A22" i="5"/>
  <c r="V21" i="5"/>
  <c r="U21" i="5"/>
  <c r="T21" i="5"/>
  <c r="S21" i="5"/>
  <c r="R21" i="5"/>
  <c r="Q21" i="5"/>
  <c r="P21" i="5"/>
  <c r="O21" i="5"/>
  <c r="A21" i="5"/>
  <c r="V20" i="5"/>
  <c r="U20" i="5"/>
  <c r="T20" i="5"/>
  <c r="S20" i="5"/>
  <c r="R20" i="5"/>
  <c r="Q20" i="5"/>
  <c r="P20" i="5"/>
  <c r="O20" i="5"/>
  <c r="A20" i="5"/>
  <c r="V19" i="5"/>
  <c r="U19" i="5"/>
  <c r="T19" i="5"/>
  <c r="S19" i="5"/>
  <c r="R19" i="5"/>
  <c r="Q19" i="5"/>
  <c r="P19" i="5"/>
  <c r="O19" i="5"/>
  <c r="E19" i="5" s="1"/>
  <c r="A19" i="5"/>
  <c r="V18" i="5"/>
  <c r="U18" i="5"/>
  <c r="T18" i="5"/>
  <c r="S18" i="5"/>
  <c r="R18" i="5"/>
  <c r="Q18" i="5"/>
  <c r="P18" i="5"/>
  <c r="O18" i="5"/>
  <c r="A18" i="5"/>
  <c r="V17" i="5"/>
  <c r="U17" i="5"/>
  <c r="T17" i="5"/>
  <c r="S17" i="5"/>
  <c r="R17" i="5"/>
  <c r="Q17" i="5"/>
  <c r="P17" i="5"/>
  <c r="O17" i="5"/>
  <c r="E17" i="5" s="1"/>
  <c r="A17" i="5"/>
  <c r="V16" i="5"/>
  <c r="U16" i="5"/>
  <c r="T16" i="5"/>
  <c r="S16" i="5"/>
  <c r="R16" i="5"/>
  <c r="Q16" i="5"/>
  <c r="P16" i="5"/>
  <c r="O16" i="5"/>
  <c r="A16" i="5"/>
  <c r="V15" i="5"/>
  <c r="U15" i="5"/>
  <c r="T15" i="5"/>
  <c r="S15" i="5"/>
  <c r="R15" i="5"/>
  <c r="Q15" i="5"/>
  <c r="P15" i="5"/>
  <c r="O15" i="5"/>
  <c r="A15" i="5"/>
  <c r="V14" i="5"/>
  <c r="U14" i="5"/>
  <c r="T14" i="5"/>
  <c r="S14" i="5"/>
  <c r="R14" i="5"/>
  <c r="Q14" i="5"/>
  <c r="P14" i="5"/>
  <c r="O14" i="5"/>
  <c r="A14" i="5"/>
  <c r="V13" i="5"/>
  <c r="U13" i="5"/>
  <c r="T13" i="5"/>
  <c r="S13" i="5"/>
  <c r="R13" i="5"/>
  <c r="Q13" i="5"/>
  <c r="P13" i="5"/>
  <c r="O13" i="5"/>
  <c r="E13" i="5" s="1"/>
  <c r="A13" i="5"/>
  <c r="V12" i="5"/>
  <c r="U12" i="5"/>
  <c r="T12" i="5"/>
  <c r="S12" i="5"/>
  <c r="R12" i="5"/>
  <c r="Q12" i="5"/>
  <c r="P12" i="5"/>
  <c r="O12" i="5"/>
  <c r="A12" i="5"/>
  <c r="V11" i="5"/>
  <c r="U11" i="5"/>
  <c r="T11" i="5"/>
  <c r="S11" i="5"/>
  <c r="R11" i="5"/>
  <c r="Q11" i="5"/>
  <c r="P11" i="5"/>
  <c r="O11" i="5"/>
  <c r="A11" i="5"/>
  <c r="V10" i="5"/>
  <c r="U10" i="5"/>
  <c r="T10" i="5"/>
  <c r="S10" i="5"/>
  <c r="R10" i="5"/>
  <c r="Q10" i="5"/>
  <c r="P10" i="5"/>
  <c r="O10" i="5"/>
  <c r="A10" i="5"/>
  <c r="V9" i="5"/>
  <c r="U9" i="5"/>
  <c r="T9" i="5"/>
  <c r="S9" i="5"/>
  <c r="R9" i="5"/>
  <c r="Q9" i="5"/>
  <c r="P9" i="5"/>
  <c r="O9" i="5"/>
  <c r="E9" i="5" s="1"/>
  <c r="A9" i="5"/>
  <c r="V8" i="5"/>
  <c r="U8" i="5"/>
  <c r="T8" i="5"/>
  <c r="S8" i="5"/>
  <c r="R8" i="5"/>
  <c r="Q8" i="5"/>
  <c r="P8" i="5"/>
  <c r="O8" i="5"/>
  <c r="A8" i="5"/>
  <c r="V7" i="5"/>
  <c r="U7" i="5"/>
  <c r="T7" i="5"/>
  <c r="S7" i="5"/>
  <c r="E7" i="5" s="1"/>
  <c r="R7" i="5"/>
  <c r="Q7" i="5"/>
  <c r="P7" i="5"/>
  <c r="O7" i="5"/>
  <c r="A7" i="5"/>
  <c r="V6" i="5"/>
  <c r="U6" i="5"/>
  <c r="T6" i="5"/>
  <c r="S6" i="5"/>
  <c r="R6" i="5"/>
  <c r="Q6" i="5"/>
  <c r="P6" i="5"/>
  <c r="O6" i="5"/>
  <c r="A6" i="5"/>
  <c r="V5" i="5"/>
  <c r="U5" i="5"/>
  <c r="T5" i="5"/>
  <c r="S5" i="5"/>
  <c r="R5" i="5"/>
  <c r="Q5" i="5"/>
  <c r="P5" i="5"/>
  <c r="O5" i="5"/>
  <c r="A5" i="5"/>
  <c r="V4" i="5"/>
  <c r="U4" i="5"/>
  <c r="T4" i="5"/>
  <c r="S4" i="5"/>
  <c r="R4" i="5"/>
  <c r="Q4" i="5"/>
  <c r="P4" i="5"/>
  <c r="O4" i="5"/>
  <c r="E4" i="5" s="1"/>
  <c r="A4" i="5"/>
  <c r="V3" i="5"/>
  <c r="U3" i="5"/>
  <c r="T3" i="5"/>
  <c r="S3" i="5"/>
  <c r="R3" i="5"/>
  <c r="Q3" i="5"/>
  <c r="P3" i="5"/>
  <c r="O3" i="5"/>
  <c r="E3" i="5" s="1"/>
  <c r="A3" i="5"/>
  <c r="V2" i="5"/>
  <c r="U2" i="5"/>
  <c r="T2" i="5"/>
  <c r="S2" i="5"/>
  <c r="R2" i="5"/>
  <c r="Q2" i="5"/>
  <c r="P2" i="5"/>
  <c r="O2" i="5"/>
  <c r="E2" i="5"/>
  <c r="A2" i="5"/>
  <c r="F2" i="5"/>
  <c r="B24" i="5"/>
  <c r="C18" i="5"/>
  <c r="F10" i="5"/>
  <c r="F25" i="5"/>
  <c r="F16" i="5"/>
  <c r="B9" i="5"/>
  <c r="C7" i="5"/>
  <c r="C19" i="5"/>
  <c r="F26" i="5"/>
  <c r="F24" i="5"/>
  <c r="F18" i="5"/>
  <c r="B13" i="5"/>
  <c r="C10" i="5"/>
  <c r="C27" i="5"/>
  <c r="F20" i="5"/>
  <c r="C3" i="5"/>
  <c r="F9" i="5"/>
  <c r="G1" i="1"/>
  <c r="C8" i="5"/>
  <c r="B4" i="5"/>
  <c r="F4" i="5"/>
  <c r="B2" i="5"/>
  <c r="C16" i="5"/>
  <c r="C17" i="5"/>
  <c r="B10" i="5"/>
  <c r="B19" i="5"/>
  <c r="F1" i="1"/>
  <c r="C6" i="5"/>
  <c r="C23" i="5"/>
  <c r="F6" i="5"/>
  <c r="C14" i="5"/>
  <c r="C20" i="5"/>
  <c r="F12" i="5"/>
  <c r="B25" i="5"/>
  <c r="F21" i="5"/>
  <c r="F7" i="1"/>
  <c r="B15" i="5"/>
  <c r="C26" i="5"/>
  <c r="F11" i="5"/>
  <c r="F19" i="5"/>
  <c r="B5" i="5"/>
  <c r="B18" i="5"/>
  <c r="F3" i="5"/>
  <c r="B22" i="5"/>
  <c r="B17" i="5"/>
  <c r="C11" i="5"/>
  <c r="C2" i="5"/>
  <c r="F7" i="5"/>
  <c r="B6" i="5"/>
  <c r="B14" i="5"/>
  <c r="F5" i="5"/>
  <c r="F22" i="5"/>
  <c r="F13" i="5"/>
  <c r="B26" i="5"/>
  <c r="C4" i="5"/>
  <c r="C5" i="5"/>
  <c r="C21" i="5"/>
  <c r="C13" i="5"/>
  <c r="C22" i="5"/>
  <c r="B11" i="5"/>
  <c r="B23" i="5"/>
  <c r="B7" i="5"/>
  <c r="F17" i="5"/>
  <c r="B3" i="5"/>
  <c r="C15" i="5"/>
  <c r="B27" i="5"/>
  <c r="F8" i="5"/>
  <c r="F27" i="5"/>
  <c r="B16" i="5"/>
  <c r="C12" i="5"/>
  <c r="B12" i="5"/>
  <c r="F15" i="5"/>
  <c r="F23" i="5"/>
  <c r="B21" i="5"/>
  <c r="B20" i="5"/>
  <c r="F14" i="5"/>
  <c r="B8" i="5"/>
  <c r="C25" i="5"/>
  <c r="C9" i="5"/>
  <c r="C24" i="5"/>
  <c r="E11" i="5" l="1"/>
  <c r="E8" i="5"/>
  <c r="E18" i="5"/>
  <c r="E26" i="5"/>
  <c r="E6" i="5"/>
  <c r="E20" i="5"/>
  <c r="E15" i="5"/>
  <c r="E16" i="5"/>
  <c r="E12" i="5"/>
  <c r="E21" i="5"/>
  <c r="E10" i="5"/>
  <c r="E14" i="5"/>
  <c r="E5" i="5"/>
</calcChain>
</file>

<file path=xl/sharedStrings.xml><?xml version="1.0" encoding="utf-8"?>
<sst xmlns="http://schemas.openxmlformats.org/spreadsheetml/2006/main" count="606" uniqueCount="420">
  <si>
    <t>default</t>
  </si>
  <si>
    <t>help</t>
  </si>
  <si>
    <t>language</t>
  </si>
  <si>
    <t>navigate</t>
  </si>
  <si>
    <t>position</t>
  </si>
  <si>
    <t>showlocation</t>
  </si>
  <si>
    <t>url</t>
  </si>
  <si>
    <t>zoomtoicons</t>
  </si>
  <si>
    <t>Method</t>
  </si>
  <si>
    <t>Function</t>
  </si>
  <si>
    <t>Type</t>
  </si>
  <si>
    <t>Name</t>
  </si>
  <si>
    <t>Arguments</t>
  </si>
  <si>
    <t>A URL</t>
  </si>
  <si>
    <t>The name of a place</t>
  </si>
  <si>
    <t>Language code as listed at http://code.google.com/apis/maps/faq.html#languagesupport</t>
  </si>
  <si>
    <t>Top, Bottom, Left, Right</t>
  </si>
  <si>
    <t>Description</t>
  </si>
  <si>
    <t>Creates an icon on the map. The title appears when hovering over the icon. Clicking the icon displays the HTML, formatted</t>
  </si>
  <si>
    <t>Restores the default map</t>
  </si>
  <si>
    <t>Displays a webpage instead of a map. Use 'default' to go back to the map page</t>
  </si>
  <si>
    <t>Docks the map pane. Returns where it is currently docked</t>
  </si>
  <si>
    <t>Sets the map's language. Returns the current language</t>
  </si>
  <si>
    <t>Displays the url that the map pane is currently displaying</t>
  </si>
  <si>
    <t>Try it!</t>
  </si>
  <si>
    <t>status</t>
  </si>
  <si>
    <t>latitude</t>
  </si>
  <si>
    <t>longitude</t>
  </si>
  <si>
    <t>true</t>
  </si>
  <si>
    <t>false</t>
  </si>
  <si>
    <t>clicked</t>
  </si>
  <si>
    <t>showsheet</t>
  </si>
  <si>
    <t>Sheet name</t>
  </si>
  <si>
    <t>Austria</t>
  </si>
  <si>
    <t>Vienna</t>
  </si>
  <si>
    <t>Belgium</t>
  </si>
  <si>
    <t>Brussels</t>
  </si>
  <si>
    <t>Bulgaria</t>
  </si>
  <si>
    <t>Sofia</t>
  </si>
  <si>
    <t>Nicosia</t>
  </si>
  <si>
    <t>Cyprus</t>
  </si>
  <si>
    <t>Prague</t>
  </si>
  <si>
    <t>Czech Republic</t>
  </si>
  <si>
    <t>Denmark</t>
  </si>
  <si>
    <t>Copenhagen</t>
  </si>
  <si>
    <t>Estonia</t>
  </si>
  <si>
    <t>Tallinn</t>
  </si>
  <si>
    <t>Finland</t>
  </si>
  <si>
    <t>Helsinki</t>
  </si>
  <si>
    <t>Paris</t>
  </si>
  <si>
    <t>France</t>
  </si>
  <si>
    <t>Berlin</t>
  </si>
  <si>
    <t>Germany</t>
  </si>
  <si>
    <t>Athens</t>
  </si>
  <si>
    <t>Greece</t>
  </si>
  <si>
    <t>Budapest</t>
  </si>
  <si>
    <t>Hungary</t>
  </si>
  <si>
    <t>Ireland</t>
  </si>
  <si>
    <t>Dublin</t>
  </si>
  <si>
    <t>Rome</t>
  </si>
  <si>
    <t>Italy</t>
  </si>
  <si>
    <t>Riga</t>
  </si>
  <si>
    <t>Latvia</t>
  </si>
  <si>
    <t>Lithuania</t>
  </si>
  <si>
    <t>Vilnius</t>
  </si>
  <si>
    <t>Luxembourg</t>
  </si>
  <si>
    <t>Malta</t>
  </si>
  <si>
    <t>Valletta</t>
  </si>
  <si>
    <t>Amsterdam</t>
  </si>
  <si>
    <t>Warsaw</t>
  </si>
  <si>
    <t>Poland</t>
  </si>
  <si>
    <t>Lisbon</t>
  </si>
  <si>
    <t>Portugal</t>
  </si>
  <si>
    <t>Romania</t>
  </si>
  <si>
    <t>Bratislava</t>
  </si>
  <si>
    <t>Slovakia</t>
  </si>
  <si>
    <t>Slovenia</t>
  </si>
  <si>
    <t>Ljubljana</t>
  </si>
  <si>
    <t>Madrid</t>
  </si>
  <si>
    <t>Spain</t>
  </si>
  <si>
    <t>Stockholm</t>
  </si>
  <si>
    <t>Sweden</t>
  </si>
  <si>
    <t>title</t>
  </si>
  <si>
    <t>icon</t>
  </si>
  <si>
    <t>html</t>
  </si>
  <si>
    <t>State</t>
  </si>
  <si>
    <t>Capital</t>
  </si>
  <si>
    <t>Constitutional name</t>
  </si>
  <si>
    <t>Joined</t>
  </si>
  <si>
    <t>Population</t>
  </si>
  <si>
    <t>km²</t>
  </si>
  <si>
    <t>GDP</t>
  </si>
  <si>
    <t>Currency</t>
  </si>
  <si>
    <t>Constitutional name(s)</t>
  </si>
  <si>
    <t>http://upload.wikimedia.org/wikipedia/commons/thumb/4/41/Flag_of_Austria.svg/22px-Flag_of_Austria.svg.png</t>
  </si>
  <si>
    <t>Republik Österreich</t>
  </si>
  <si>
    <t>8,372,930</t>
  </si>
  <si>
    <t>83,871</t>
  </si>
  <si>
    <t>38,838</t>
  </si>
  <si>
    <t>Euro</t>
  </si>
  <si>
    <t>http://upload.wikimedia.org/wikipedia/commons/thumb/9/92/Flag_of_Belgium_%28civil%29.svg/22px-Flag_of_Belgium_%28civil%29.svg.png</t>
  </si>
  <si>
    <t>Koninkrijk België</t>
  </si>
  <si>
    <t>Founder</t>
  </si>
  <si>
    <t>10,827,519</t>
  </si>
  <si>
    <t>30,528</t>
  </si>
  <si>
    <t>35,421</t>
  </si>
  <si>
    <t>http://upload.wikimedia.org/wikipedia/commons/thumb/9/9a/Flag_of_Bulgaria.svg/22px-Flag_of_Bulgaria.svg.png</t>
  </si>
  <si>
    <t>Република България</t>
  </si>
  <si>
    <t>7,576,751</t>
  </si>
  <si>
    <t>110,910</t>
  </si>
  <si>
    <t>11,900</t>
  </si>
  <si>
    <t>Bulgarian Lev</t>
  </si>
  <si>
    <t>http://upload.wikimedia.org/wikipedia/commons/thumb/d/d4/Flag_of_Cyprus.svg/22px-Flag_of_Cyprus.svg.png</t>
  </si>
  <si>
    <t>Κυπριακή Δημοκρατία</t>
  </si>
  <si>
    <t>801,851</t>
  </si>
  <si>
    <t>9,251</t>
  </si>
  <si>
    <t>28,544</t>
  </si>
  <si>
    <t>http://upload.wikimedia.org/wikipedia/commons/thumb/c/cb/Flag_of_the_Czech_Republic.svg/22px-Flag_of_the_Czech_Republic.svg.png</t>
  </si>
  <si>
    <t>Česká republika</t>
  </si>
  <si>
    <t>10,512,397</t>
  </si>
  <si>
    <t>78,866</t>
  </si>
  <si>
    <t>24,093</t>
  </si>
  <si>
    <t>Czech koruna</t>
  </si>
  <si>
    <t>http://upload.wikimedia.org/wikipedia/commons/thumb/9/9c/Flag_of_Denmark.svg/22px-Flag_of_Denmark.svg.png</t>
  </si>
  <si>
    <t>Kongeriget Danmark</t>
  </si>
  <si>
    <t>5,547,088</t>
  </si>
  <si>
    <t>43,094</t>
  </si>
  <si>
    <t>35,757</t>
  </si>
  <si>
    <t>Danish krone</t>
  </si>
  <si>
    <t>http://upload.wikimedia.org/wikipedia/commons/thumb/8/8f/Flag_of_Estonia.svg/22px-Flag_of_Estonia.svg.png</t>
  </si>
  <si>
    <t>Eesti Vabariik</t>
  </si>
  <si>
    <t>1,340,274</t>
  </si>
  <si>
    <t>45,226</t>
  </si>
  <si>
    <t>17,908</t>
  </si>
  <si>
    <t>http://upload.wikimedia.org/wikipedia/commons/thumb/b/bc/Flag_of_Finland.svg/22px-Flag_of_Finland.svg.png</t>
  </si>
  <si>
    <t>Suomen tasavalta</t>
  </si>
  <si>
    <t>5,350,475</t>
  </si>
  <si>
    <t>338,145</t>
  </si>
  <si>
    <t>33,555</t>
  </si>
  <si>
    <t>http://upload.wikimedia.org/wikipedia/commons/thumb/c/c3/Flag_of_France.svg/22px-Flag_of_France.svg.png</t>
  </si>
  <si>
    <t>République française</t>
  </si>
  <si>
    <t>64,709,480</t>
  </si>
  <si>
    <t>674,843</t>
  </si>
  <si>
    <t>33,678</t>
  </si>
  <si>
    <t>http://upload.wikimedia.org/wikipedia/commons/thumb/b/ba/Flag_of_Germany.svg/22px-Flag_of_Germany.svg.png</t>
  </si>
  <si>
    <t>Bundesrepublik Deutschland</t>
  </si>
  <si>
    <t>81,757,595</t>
  </si>
  <si>
    <t>357,050</t>
  </si>
  <si>
    <t>34,212</t>
  </si>
  <si>
    <t>http://upload.wikimedia.org/wikipedia/commons/thumb/5/5c/Flag_of_Greece.svg/22px-Flag_of_Greece.svg.png</t>
  </si>
  <si>
    <t>Ελληνική Δημοκρατία</t>
  </si>
  <si>
    <t>11,125,179</t>
  </si>
  <si>
    <t>131,990</t>
  </si>
  <si>
    <t>29,881</t>
  </si>
  <si>
    <t>http://upload.wikimedia.org/wikipedia/commons/thumb/c/c1/Flag_of_Hungary.svg/22px-Flag_of_Hungary.svg.png</t>
  </si>
  <si>
    <t>Magyar Köztársaság</t>
  </si>
  <si>
    <t>10,013,628</t>
  </si>
  <si>
    <t>93,030</t>
  </si>
  <si>
    <t>18,566</t>
  </si>
  <si>
    <t>Hungarian forint</t>
  </si>
  <si>
    <t>http://upload.wikimedia.org/wikipedia/commons/thumb/4/45/Flag_of_Ireland.svg/22px-Flag_of_Ireland.svg.png</t>
  </si>
  <si>
    <t>Éire</t>
  </si>
  <si>
    <t>4,467,854</t>
  </si>
  <si>
    <t>70,273</t>
  </si>
  <si>
    <t>39,468</t>
  </si>
  <si>
    <t>http://upload.wikimedia.org/wikipedia/commons/thumb/0/03/Flag_of_Italy.svg/22px-Flag_of_Italy.svg.png</t>
  </si>
  <si>
    <t>Repubblica italiana</t>
  </si>
  <si>
    <t>60,397,353</t>
  </si>
  <si>
    <t>301,318</t>
  </si>
  <si>
    <t>29,109</t>
  </si>
  <si>
    <t>http://upload.wikimedia.org/wikipedia/commons/thumb/8/84/Flag_of_Latvia.svg/22px-Flag_of_Latvia.svg.png</t>
  </si>
  <si>
    <t>Latvijas Republika</t>
  </si>
  <si>
    <t>2,248,961</t>
  </si>
  <si>
    <t>64,589</t>
  </si>
  <si>
    <t>14,254</t>
  </si>
  <si>
    <t>Latvian lats</t>
  </si>
  <si>
    <t>http://upload.wikimedia.org/wikipedia/commons/thumb/1/11/Flag_of_Lithuania.svg/22px-Flag_of_Lithuania.svg.png</t>
  </si>
  <si>
    <t>Lietuvos Respublika</t>
  </si>
  <si>
    <t>3,329,227</t>
  </si>
  <si>
    <t>65,303</t>
  </si>
  <si>
    <t>16,542</t>
  </si>
  <si>
    <t>Lithuanian litas</t>
  </si>
  <si>
    <t>http://upload.wikimedia.org/wikipedia/commons/thumb/d/da/Flag_of_Luxembourg.svg/22px-Flag_of_Luxembourg.svg.png</t>
  </si>
  <si>
    <t>Grand-Duché de Luxembourg</t>
  </si>
  <si>
    <t>502,207</t>
  </si>
  <si>
    <t>2,586</t>
  </si>
  <si>
    <t>78,395</t>
  </si>
  <si>
    <t>http://upload.wikimedia.org/wikipedia/commons/thumb/7/73/Flag_of_Malta.svg/22px-Flag_of_Malta.svg.png</t>
  </si>
  <si>
    <t>Repubblika ta' Malta</t>
  </si>
  <si>
    <t>416,333</t>
  </si>
  <si>
    <t>23,583</t>
  </si>
  <si>
    <t>http://upload.wikimedia.org/wikipedia/commons/thumb/2/20/Flag_of_the_Netherlands.svg/22px-Flag_of_the_Netherlands.svg.png</t>
  </si>
  <si>
    <t>Netherlands</t>
  </si>
  <si>
    <t>Koninkrijk der Nederlanden</t>
  </si>
  <si>
    <t>16,576,800</t>
  </si>
  <si>
    <t>41,526</t>
  </si>
  <si>
    <t>39,937</t>
  </si>
  <si>
    <t>http://upload.wikimedia.org/wikipedia/commons/thumb/1/12/Flag_of_Poland.svg/22px-Flag_of_Poland.svg.png</t>
  </si>
  <si>
    <t>Rzeczpospolita Polska</t>
  </si>
  <si>
    <t>38,163,895</t>
  </si>
  <si>
    <t>312,683</t>
  </si>
  <si>
    <t>18,072</t>
  </si>
  <si>
    <t>Polish złoty</t>
  </si>
  <si>
    <t>http://upload.wikimedia.org/wikipedia/commons/thumb/5/5c/Flag_of_Portugal.svg/22px-Flag_of_Portugal.svg.png</t>
  </si>
  <si>
    <t>República Portuguesa</t>
  </si>
  <si>
    <t>11,317,192</t>
  </si>
  <si>
    <t>92,391</t>
  </si>
  <si>
    <t>21,858</t>
  </si>
  <si>
    <t>http://upload.wikimedia.org/wikipedia/commons/thumb/7/73/Flag_of_Romania.svg/22px-Flag_of_Romania.svg.png</t>
  </si>
  <si>
    <t>Bucharest</t>
  </si>
  <si>
    <t>România</t>
  </si>
  <si>
    <t>21,466,174</t>
  </si>
  <si>
    <t>238,391</t>
  </si>
  <si>
    <t>11,917</t>
  </si>
  <si>
    <t>Romanian leu</t>
  </si>
  <si>
    <t>http://upload.wikimedia.org/wikipedia/commons/thumb/e/e6/Flag_of_Slovakia.svg/22px-Flag_of_Slovakia.svg.png</t>
  </si>
  <si>
    <t>Slovenská republika</t>
  </si>
  <si>
    <t>5,424,057</t>
  </si>
  <si>
    <t>49,037</t>
  </si>
  <si>
    <t>21,244</t>
  </si>
  <si>
    <t>http://upload.wikimedia.org/wikipedia/commons/thumb/f/f0/Flag_of_Slovenia.svg/22px-Flag_of_Slovenia.svg.png</t>
  </si>
  <si>
    <t>Republika Slovenija</t>
  </si>
  <si>
    <t>2,054,119</t>
  </si>
  <si>
    <t>20,273</t>
  </si>
  <si>
    <t>27,654</t>
  </si>
  <si>
    <t>http://upload.wikimedia.org/wikipedia/commons/thumb/9/9a/Flag_of_Spain.svg/22px-Flag_of_Spain.svg.png</t>
  </si>
  <si>
    <t>Reino de España</t>
  </si>
  <si>
    <t>46,087,170</t>
  </si>
  <si>
    <t>506,030</t>
  </si>
  <si>
    <t>31,963</t>
  </si>
  <si>
    <t>http://upload.wikimedia.org/wikipedia/commons/thumb/4/4c/Flag_of_Sweden.svg/22px-Flag_of_Sweden.svg.png</t>
  </si>
  <si>
    <t>Konungariket Sverige</t>
  </si>
  <si>
    <t>9,347,899</t>
  </si>
  <si>
    <t>449,964</t>
  </si>
  <si>
    <t>35,964</t>
  </si>
  <si>
    <t>Swedish krona</t>
  </si>
  <si>
    <t>Displays a map sheet. This is equivalent to selecting a sheet in the map sheet dropdown in the map pane toolbar, but without displaying any popup messages. If the sheet doesn't exist or isn't in the correct format, nothing happens.</t>
  </si>
  <si>
    <t>drawcircle</t>
  </si>
  <si>
    <t>Draws a circle on the map</t>
  </si>
  <si>
    <t>drawline</t>
  </si>
  <si>
    <t>drawmarker</t>
  </si>
  <si>
    <t>Draws a line on the map</t>
  </si>
  <si>
    <t>MsgBox Clicked</t>
  </si>
  <si>
    <t>Default</t>
  </si>
  <si>
    <t>VBA Sample</t>
  </si>
  <si>
    <t>Navigate "http://www.google.ch/?hl=en"</t>
  </si>
  <si>
    <t>ShowSheet "Europe"</t>
  </si>
  <si>
    <t>MsgBox URL</t>
  </si>
  <si>
    <t>ZoomToIcons</t>
  </si>
  <si>
    <t>id, lat, lng, radius, text, strokecolour, strokeopacity,  strokeweight, fillcolour, fillopacity</t>
  </si>
  <si>
    <t>id, lat1, lon1, lat2, lon2, text, strokecolour, strokeopacity,  strokeweight</t>
  </si>
  <si>
    <t>id, latitude, longitude, icon, title, html</t>
  </si>
  <si>
    <t>DrawLine 4, 45.825284, 1.273252, 46.19155, 6.129209, "Dijon-Geneva", "fuchsia", 0.8, 6</t>
  </si>
  <si>
    <t>Zooms the map to fit everything that's been drawn (icons, circles, directions, etc)</t>
  </si>
  <si>
    <t>This workbook shows samples of Geodesix's VBA functions</t>
  </si>
  <si>
    <t>Returns the coordinates where the user last clicked on the map (that is displayed in the 'Find' field in the toolbar). Returns 0 if never clicked</t>
  </si>
  <si>
    <t>DrawMarker 5, 47.313063, 5.041563, "http://maps.google.com/mapfiles/kml/pal2/icon11.png", "Dijon Church"</t>
  </si>
  <si>
    <t>Language ru</t>
  </si>
  <si>
    <t>en</t>
  </si>
  <si>
    <t>fr</t>
  </si>
  <si>
    <t>ru</t>
  </si>
  <si>
    <t>ko</t>
  </si>
  <si>
    <t>region</t>
  </si>
  <si>
    <t>Position right</t>
  </si>
  <si>
    <t xml:space="preserve">Displays the help page </t>
  </si>
  <si>
    <t>Help file</t>
  </si>
  <si>
    <t>Help index.html</t>
  </si>
  <si>
    <t>de</t>
  </si>
  <si>
    <t>Region us</t>
  </si>
  <si>
    <t>top</t>
  </si>
  <si>
    <t>left</t>
  </si>
  <si>
    <t>right</t>
  </si>
  <si>
    <t>bottom</t>
  </si>
  <si>
    <t>Sets the map's region See http://code.google.com/apis/maps/documentation/geocoding/#RegionCodes</t>
  </si>
  <si>
    <t>ShowLocation "Indonesia"</t>
  </si>
  <si>
    <t>Displays a place</t>
  </si>
  <si>
    <t>administrative_area_level_1 political</t>
  </si>
  <si>
    <t>administrative_area_level_2 political</t>
  </si>
  <si>
    <t>administrative_area_level_3 political</t>
  </si>
  <si>
    <t>boundsne</t>
  </si>
  <si>
    <t>boundssw</t>
  </si>
  <si>
    <t>country political</t>
  </si>
  <si>
    <t>formatted_address</t>
  </si>
  <si>
    <t>locality political</t>
  </si>
  <si>
    <t>location_type</t>
  </si>
  <si>
    <t>place_id</t>
  </si>
  <si>
    <t>postal_code postal_code_prefix</t>
  </si>
  <si>
    <t>Amsterdam, Netherlands</t>
  </si>
  <si>
    <t>OK</t>
  </si>
  <si>
    <t>North Holland</t>
  </si>
  <si>
    <t>Government of Amsterdam</t>
  </si>
  <si>
    <t>52.4311573,5.0791619</t>
  </si>
  <si>
    <t>52.278174,4.7287589</t>
  </si>
  <si>
    <t>APPROXIMATE</t>
  </si>
  <si>
    <t>ChIJVXealLU_xkcRja_At0z9AGY</t>
  </si>
  <si>
    <t>Athens, Greece</t>
  </si>
  <si>
    <t>Central Athens Regional Unit</t>
  </si>
  <si>
    <t>38.0328563,23.7896925</t>
  </si>
  <si>
    <t>37.9488181,23.6869862</t>
  </si>
  <si>
    <t>ChIJ8UNwBh-9oRQR3Y1mdkU1Nic</t>
  </si>
  <si>
    <t>Berlin, Germany</t>
  </si>
  <si>
    <t>Kreisfreie Stadt Berlin</t>
  </si>
  <si>
    <t>52.6754542,13.7611175</t>
  </si>
  <si>
    <t>52.338234,13.088346</t>
  </si>
  <si>
    <t>ChIJAVkDPzdOqEcRcDteW0YgIQQ</t>
  </si>
  <si>
    <t>Bratislava, Slovakia</t>
  </si>
  <si>
    <t>Bratislava Region</t>
  </si>
  <si>
    <t>48.2650461,17.2856594</t>
  </si>
  <si>
    <t>48.0065146,16.9461747</t>
  </si>
  <si>
    <t>ChIJl2HKCjaJbEcRaEOI_YKbH2M</t>
  </si>
  <si>
    <t>Brussels, Belgium</t>
  </si>
  <si>
    <t>50.9139024,4.4822716</t>
  </si>
  <si>
    <t>50.763681,4.2437655</t>
  </si>
  <si>
    <t>ChIJ_58PdIbEw0cRMIBML6uZAAE</t>
  </si>
  <si>
    <t>Bucharest, Romania</t>
  </si>
  <si>
    <t>44.541407,26.225575</t>
  </si>
  <si>
    <t>44.3342445,25.9637001</t>
  </si>
  <si>
    <t>ChIJT608vzr5sUARKKacfOMyBqw</t>
  </si>
  <si>
    <t>Budapest, Hungary</t>
  </si>
  <si>
    <t>47.6130119,19.3345049</t>
  </si>
  <si>
    <t>47.349415,18.9261011</t>
  </si>
  <si>
    <t>ChIJyc_U0TTDQUcRYBEeDCnEAAQ</t>
  </si>
  <si>
    <t>Copenhagen, Denmark</t>
  </si>
  <si>
    <t>55.7270937,12.7342654</t>
  </si>
  <si>
    <t>55.615441,12.4533824</t>
  </si>
  <si>
    <t>ChIJIz2AXDxTUkYRuGeU5t1-3QQ</t>
  </si>
  <si>
    <t>Dublin, Ireland</t>
  </si>
  <si>
    <t>County Dublin</t>
  </si>
  <si>
    <t>53.4252101,-6.0439235</t>
  </si>
  <si>
    <t>53.2234301,-6.4474847</t>
  </si>
  <si>
    <t>ChIJL6wn6oAOZ0gRoHExl6nHAAo</t>
  </si>
  <si>
    <t>Helsinki, Finland</t>
  </si>
  <si>
    <t>Uusimaa</t>
  </si>
  <si>
    <t>60.2978389,25.2544849</t>
  </si>
  <si>
    <t>59.9224887,24.7828758</t>
  </si>
  <si>
    <t>ChIJkQYhlscLkkYRY_fiO4S9Ts0</t>
  </si>
  <si>
    <t>Lisbon, Portugal</t>
  </si>
  <si>
    <t>38.7967595,-9.089636</t>
  </si>
  <si>
    <t>38.6913994,-9.2298356</t>
  </si>
  <si>
    <t>ChIJO_PkYRozGQ0R0DaQ5L3rAAQ</t>
  </si>
  <si>
    <t>Ljubljana, Slovenia</t>
  </si>
  <si>
    <t>46.1422017,14.6446963</t>
  </si>
  <si>
    <t>45.990033,14.4195019</t>
  </si>
  <si>
    <t>ChIJ0YaYlvUxZUcRIOw_ghz4AAQ</t>
  </si>
  <si>
    <t>Luxembourg, Luxembourg</t>
  </si>
  <si>
    <t>50.18282,6.5309701</t>
  </si>
  <si>
    <t>49.447879,5.7356699</t>
  </si>
  <si>
    <t>ChIJRyEhyrlFlUcR75LTAvZg22Q</t>
  </si>
  <si>
    <t>Madrid, Spain</t>
  </si>
  <si>
    <t>Community of Madrid</t>
  </si>
  <si>
    <t>40.5638447,-3.5249115</t>
  </si>
  <si>
    <t>40.3120639,-3.8341618</t>
  </si>
  <si>
    <t>ChIJgTwKgJcpQg0RaSKMYcHeNsQ</t>
  </si>
  <si>
    <t>Nicosia, Cyprus</t>
  </si>
  <si>
    <t>35.2323172,33.4762967</t>
  </si>
  <si>
    <t>35.1521879,33.3185077</t>
  </si>
  <si>
    <t>ChIJVU1JymcX3hQRpcARA5ykXls</t>
  </si>
  <si>
    <t>Paris, France</t>
  </si>
  <si>
    <t>Île-de-France</t>
  </si>
  <si>
    <t>48.9021475,2.4698509</t>
  </si>
  <si>
    <t>48.8155622,2.2242191</t>
  </si>
  <si>
    <t>ChIJD7fiBh9u5kcRYJSMaMOCCwQ</t>
  </si>
  <si>
    <t>Prague, Czech Republic</t>
  </si>
  <si>
    <t>Hlavní město Praha</t>
  </si>
  <si>
    <t>50.177403,14.7067945</t>
  </si>
  <si>
    <t>49.9419363,14.2244533</t>
  </si>
  <si>
    <t>Czechia</t>
  </si>
  <si>
    <t>Prague, Czechia</t>
  </si>
  <si>
    <t>ChIJi3lwCZyTC0cRkEAWZg-vAAQ</t>
  </si>
  <si>
    <t>Riga, Latvia</t>
  </si>
  <si>
    <t>57.0861688,24.3245043</t>
  </si>
  <si>
    <t>56.8573462,23.9336426</t>
  </si>
  <si>
    <t>ChIJ7T0H5bDP7kYRMP7yaM3PAAQ</t>
  </si>
  <si>
    <t>Rome, Italy</t>
  </si>
  <si>
    <t>Lazio</t>
  </si>
  <si>
    <t>Metropolitan City of Rome Capital</t>
  </si>
  <si>
    <t>42.0505462,12.7302888</t>
  </si>
  <si>
    <t>41.769596,12.341707</t>
  </si>
  <si>
    <t>Rome, Metropolitan City of Rome Capital, Italy</t>
  </si>
  <si>
    <t>ChIJu46S-ZZhLxMROG5lkwZ3D7k</t>
  </si>
  <si>
    <t>Sofia, Bulgaria</t>
  </si>
  <si>
    <t>Sofia City Province</t>
  </si>
  <si>
    <t>42.7877752,23.4569049</t>
  </si>
  <si>
    <t>42.6030891,23.1909885</t>
  </si>
  <si>
    <t>ChIJ9Xsxy4KGqkARYF6_aRKgAAQ</t>
  </si>
  <si>
    <t>Stockholm, Sweden</t>
  </si>
  <si>
    <t>Stockholm County</t>
  </si>
  <si>
    <t>59.4278409,18.198229</t>
  </si>
  <si>
    <t>59.224443,17.765876</t>
  </si>
  <si>
    <t>ChIJywtkGTF2X0YRZnedZ9MnDag</t>
  </si>
  <si>
    <t>Tallinn, Estonia</t>
  </si>
  <si>
    <t>Harju County</t>
  </si>
  <si>
    <t>59.591577,24.9262838</t>
  </si>
  <si>
    <t>59.3518008,24.5501939</t>
  </si>
  <si>
    <t>ChIJvxZW35mUkkYRcGL8GG2zAAQ</t>
  </si>
  <si>
    <t>Valletta, Malta</t>
  </si>
  <si>
    <t>35.9036855,14.5204815</t>
  </si>
  <si>
    <t>35.8932353,14.5053349</t>
  </si>
  <si>
    <t>ChIJxUeGHShFDhMRF8lC4o7TWnQ</t>
  </si>
  <si>
    <t>Vienna Austria</t>
  </si>
  <si>
    <t>48.322563,16.5774545</t>
  </si>
  <si>
    <t>48.1179032,16.1818304</t>
  </si>
  <si>
    <t>Vienna, Austria</t>
  </si>
  <si>
    <t>ChIJn8o2UZ4HbUcRRluiUYrlwv0</t>
  </si>
  <si>
    <t>Vilnius, Lithuania</t>
  </si>
  <si>
    <t>Vilnius County</t>
  </si>
  <si>
    <t>Vilnius City Municipality</t>
  </si>
  <si>
    <t>54.832544,25.4814883</t>
  </si>
  <si>
    <t>54.5688249,25.0245791</t>
  </si>
  <si>
    <t>Vilnius, Vilnius City Municipality, Lithuania</t>
  </si>
  <si>
    <t>ChIJ9QhkXPuT3UYRQNzpcIzRAAQ</t>
  </si>
  <si>
    <t>Warsaw, Poland</t>
  </si>
  <si>
    <t>Masovian Voivodeship</t>
  </si>
  <si>
    <t>52.3681538,21.2711512</t>
  </si>
  <si>
    <t>52.0978499,20.8516883</t>
  </si>
  <si>
    <t>ChIJAZ-GmmbMHkcR_NPqiCq-8HI</t>
  </si>
  <si>
    <t>au</t>
  </si>
  <si>
    <t>ca</t>
  </si>
  <si>
    <t>no</t>
  </si>
  <si>
    <t>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</si>
</sst>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1" fillId="0" borderId="0" xfId="0" applyFont="1" applyAlignment="1">
      <alignment wrapText="1"/>
    </xf>
    <xf numFmtId="0" fontId="0" fillId="0" borderId="0" xfId="0" quotePrefix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6" fillId="0" borderId="0" xfId="0" applyFont="1"/>
    <xf numFmtId="0" fontId="6" fillId="0" borderId="1" xfId="0" applyFont="1" applyBorder="1" applyAlignment="1">
      <alignment vertical="top" wrapText="1"/>
    </xf>
    <xf numFmtId="0" fontId="6" fillId="0" borderId="1" xfId="0" quotePrefix="1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6" Type="http://schemas.openxmlformats.org/officeDocument/2006/relationships/image" Target="../media/image1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2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5</xdr:row>
          <xdr:rowOff>66675</xdr:rowOff>
        </xdr:from>
        <xdr:to>
          <xdr:col>6</xdr:col>
          <xdr:colOff>857250</xdr:colOff>
          <xdr:row>5</xdr:row>
          <xdr:rowOff>381000</xdr:rowOff>
        </xdr:to>
        <xdr:sp macro="" textlink="">
          <xdr:nvSpPr>
            <xdr:cNvPr id="1026" name="btnDefaul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133350</xdr:rowOff>
        </xdr:from>
        <xdr:to>
          <xdr:col>6</xdr:col>
          <xdr:colOff>1257300</xdr:colOff>
          <xdr:row>6</xdr:row>
          <xdr:rowOff>447675</xdr:rowOff>
        </xdr:to>
        <xdr:sp macro="" textlink="">
          <xdr:nvSpPr>
            <xdr:cNvPr id="1027" name="btnDrawCirc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14</xdr:row>
          <xdr:rowOff>104775</xdr:rowOff>
        </xdr:from>
        <xdr:to>
          <xdr:col>6</xdr:col>
          <xdr:colOff>1171575</xdr:colOff>
          <xdr:row>14</xdr:row>
          <xdr:rowOff>419100</xdr:rowOff>
        </xdr:to>
        <xdr:sp macro="" textlink="">
          <xdr:nvSpPr>
            <xdr:cNvPr id="1029" name="btnLocati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17</xdr:row>
          <xdr:rowOff>133350</xdr:rowOff>
        </xdr:from>
        <xdr:to>
          <xdr:col>6</xdr:col>
          <xdr:colOff>1390650</xdr:colOff>
          <xdr:row>17</xdr:row>
          <xdr:rowOff>447675</xdr:rowOff>
        </xdr:to>
        <xdr:sp macro="" textlink="">
          <xdr:nvSpPr>
            <xdr:cNvPr id="1031" name="btnZoomToConten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15</xdr:row>
          <xdr:rowOff>123825</xdr:rowOff>
        </xdr:from>
        <xdr:to>
          <xdr:col>6</xdr:col>
          <xdr:colOff>1524000</xdr:colOff>
          <xdr:row>15</xdr:row>
          <xdr:rowOff>438150</xdr:rowOff>
        </xdr:to>
        <xdr:sp macro="" textlink="">
          <xdr:nvSpPr>
            <xdr:cNvPr id="1038" name="btnSh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4</xdr:row>
          <xdr:rowOff>104775</xdr:rowOff>
        </xdr:from>
        <xdr:to>
          <xdr:col>6</xdr:col>
          <xdr:colOff>857250</xdr:colOff>
          <xdr:row>4</xdr:row>
          <xdr:rowOff>419100</xdr:rowOff>
        </xdr:to>
        <xdr:sp macro="" textlink="">
          <xdr:nvSpPr>
            <xdr:cNvPr id="1041" name="btnClicke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133350</xdr:rowOff>
        </xdr:from>
        <xdr:to>
          <xdr:col>6</xdr:col>
          <xdr:colOff>1590675</xdr:colOff>
          <xdr:row>7</xdr:row>
          <xdr:rowOff>447675</xdr:rowOff>
        </xdr:to>
        <xdr:sp macro="" textlink="">
          <xdr:nvSpPr>
            <xdr:cNvPr id="1043" name="btnDrawLin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11</xdr:row>
          <xdr:rowOff>104775</xdr:rowOff>
        </xdr:from>
        <xdr:to>
          <xdr:col>6</xdr:col>
          <xdr:colOff>1181100</xdr:colOff>
          <xdr:row>11</xdr:row>
          <xdr:rowOff>419100</xdr:rowOff>
        </xdr:to>
        <xdr:sp macro="" textlink="">
          <xdr:nvSpPr>
            <xdr:cNvPr id="1048" name="btnGoog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16</xdr:row>
          <xdr:rowOff>66675</xdr:rowOff>
        </xdr:from>
        <xdr:to>
          <xdr:col>6</xdr:col>
          <xdr:colOff>1171575</xdr:colOff>
          <xdr:row>16</xdr:row>
          <xdr:rowOff>381000</xdr:rowOff>
        </xdr:to>
        <xdr:sp macro="" textlink="">
          <xdr:nvSpPr>
            <xdr:cNvPr id="1049" name="btnURL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8</xdr:row>
          <xdr:rowOff>171450</xdr:rowOff>
        </xdr:from>
        <xdr:to>
          <xdr:col>6</xdr:col>
          <xdr:colOff>1714500</xdr:colOff>
          <xdr:row>8</xdr:row>
          <xdr:rowOff>485775</xdr:rowOff>
        </xdr:to>
        <xdr:sp macro="" textlink="">
          <xdr:nvSpPr>
            <xdr:cNvPr id="1050" name="btnDrawMarker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6</xdr:row>
          <xdr:rowOff>476250</xdr:rowOff>
        </xdr:from>
        <xdr:to>
          <xdr:col>6</xdr:col>
          <xdr:colOff>676275</xdr:colOff>
          <xdr:row>6</xdr:row>
          <xdr:rowOff>742950</xdr:rowOff>
        </xdr:to>
        <xdr:sp macro="" textlink="">
          <xdr:nvSpPr>
            <xdr:cNvPr id="1051" name="btnHideit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6</xdr:row>
          <xdr:rowOff>476250</xdr:rowOff>
        </xdr:from>
        <xdr:to>
          <xdr:col>6</xdr:col>
          <xdr:colOff>1276350</xdr:colOff>
          <xdr:row>6</xdr:row>
          <xdr:rowOff>742950</xdr:rowOff>
        </xdr:to>
        <xdr:sp macro="" textlink="">
          <xdr:nvSpPr>
            <xdr:cNvPr id="1052" name="btnShowIt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10</xdr:row>
          <xdr:rowOff>114300</xdr:rowOff>
        </xdr:from>
        <xdr:to>
          <xdr:col>6</xdr:col>
          <xdr:colOff>695325</xdr:colOff>
          <xdr:row>10</xdr:row>
          <xdr:rowOff>361950</xdr:rowOff>
        </xdr:to>
        <xdr:sp macro="" textlink="">
          <xdr:nvSpPr>
            <xdr:cNvPr id="1065" name="cmbLanguage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9</xdr:row>
          <xdr:rowOff>57150</xdr:rowOff>
        </xdr:from>
        <xdr:to>
          <xdr:col>6</xdr:col>
          <xdr:colOff>1009650</xdr:colOff>
          <xdr:row>9</xdr:row>
          <xdr:rowOff>371475</xdr:rowOff>
        </xdr:to>
        <xdr:sp macro="" textlink="">
          <xdr:nvSpPr>
            <xdr:cNvPr id="1066" name="btnHelp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12</xdr:row>
          <xdr:rowOff>85725</xdr:rowOff>
        </xdr:from>
        <xdr:to>
          <xdr:col>6</xdr:col>
          <xdr:colOff>1000125</xdr:colOff>
          <xdr:row>12</xdr:row>
          <xdr:rowOff>323850</xdr:rowOff>
        </xdr:to>
        <xdr:sp macro="" textlink="">
          <xdr:nvSpPr>
            <xdr:cNvPr id="1067" name="cmbPosition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13</xdr:row>
          <xdr:rowOff>171450</xdr:rowOff>
        </xdr:from>
        <xdr:to>
          <xdr:col>6</xdr:col>
          <xdr:colOff>1066800</xdr:colOff>
          <xdr:row>13</xdr:row>
          <xdr:rowOff>447675</xdr:rowOff>
        </xdr:to>
        <xdr:sp macro="" textlink="">
          <xdr:nvSpPr>
            <xdr:cNvPr id="1068" name="cmbRegion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11</xdr:row>
      <xdr:rowOff>104775</xdr:rowOff>
    </xdr:from>
    <xdr:to>
      <xdr:col>6</xdr:col>
      <xdr:colOff>266700</xdr:colOff>
      <xdr:row>16</xdr:row>
      <xdr:rowOff>76200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/>
        </xdr:cNvSpPr>
      </xdr:nvSpPr>
      <xdr:spPr bwMode="auto">
        <a:xfrm>
          <a:off x="2562225" y="1885950"/>
          <a:ext cx="2324100" cy="781050"/>
        </a:xfrm>
        <a:prstGeom prst="borderCallout2">
          <a:avLst>
            <a:gd name="adj1" fmla="val 14634"/>
            <a:gd name="adj2" fmla="val -3278"/>
            <a:gd name="adj3" fmla="val 14634"/>
            <a:gd name="adj4" fmla="val -43032"/>
            <a:gd name="adj5" fmla="val -228051"/>
            <a:gd name="adj6" fmla="val -74588"/>
          </a:avLst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latitude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and </a:t>
          </a: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GB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ongitude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are mandatory</a:t>
          </a:r>
        </a:p>
        <a:p>
          <a:pPr algn="l" rtl="0">
            <a:defRPr sz="1000"/>
          </a:pPr>
          <a:r>
            <a:rPr lang="en-GB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title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the rollover text</a:t>
          </a:r>
        </a:p>
        <a:p>
          <a:pPr algn="l" rtl="0">
            <a:defRPr sz="1000"/>
          </a:pPr>
          <a:r>
            <a:rPr lang="en-GB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icon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the URL of the image to display</a:t>
          </a:r>
        </a:p>
        <a:p>
          <a:pPr algn="l" rtl="0">
            <a:defRPr sz="1000"/>
          </a:pPr>
          <a:r>
            <a:rPr lang="en-GB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html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is the HTML contents of the popup</a:t>
          </a:r>
          <a:endParaRPr lang="en-GB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26" Type="http://schemas.openxmlformats.org/officeDocument/2006/relationships/control" Target="../activeX/activeX9.xml"/><Relationship Id="rId39" Type="http://schemas.openxmlformats.org/officeDocument/2006/relationships/image" Target="../media/image15.emf"/><Relationship Id="rId3" Type="http://schemas.openxmlformats.org/officeDocument/2006/relationships/customProperty" Target="../customProperty2.bin"/><Relationship Id="rId21" Type="http://schemas.openxmlformats.org/officeDocument/2006/relationships/image" Target="../media/image6.emf"/><Relationship Id="rId34" Type="http://schemas.openxmlformats.org/officeDocument/2006/relationships/control" Target="../activeX/activeX13.xml"/><Relationship Id="rId7" Type="http://schemas.openxmlformats.org/officeDocument/2006/relationships/customProperty" Target="../customProperty6.bin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5.xml"/><Relationship Id="rId2" Type="http://schemas.openxmlformats.org/officeDocument/2006/relationships/customProperty" Target="../customProperty1.bin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29" Type="http://schemas.openxmlformats.org/officeDocument/2006/relationships/image" Target="../media/image10.emf"/><Relationship Id="rId41" Type="http://schemas.openxmlformats.org/officeDocument/2006/relationships/image" Target="../media/image16.emf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11" Type="http://schemas.openxmlformats.org/officeDocument/2006/relationships/image" Target="../media/image1.emf"/><Relationship Id="rId24" Type="http://schemas.openxmlformats.org/officeDocument/2006/relationships/control" Target="../activeX/activeX8.xml"/><Relationship Id="rId32" Type="http://schemas.openxmlformats.org/officeDocument/2006/relationships/control" Target="../activeX/activeX12.xml"/><Relationship Id="rId37" Type="http://schemas.openxmlformats.org/officeDocument/2006/relationships/image" Target="../media/image14.emf"/><Relationship Id="rId40" Type="http://schemas.openxmlformats.org/officeDocument/2006/relationships/control" Target="../activeX/activeX16.xml"/><Relationship Id="rId5" Type="http://schemas.openxmlformats.org/officeDocument/2006/relationships/customProperty" Target="../customProperty4.bin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10.xml"/><Relationship Id="rId36" Type="http://schemas.openxmlformats.org/officeDocument/2006/relationships/control" Target="../activeX/activeX14.xml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" Type="http://schemas.openxmlformats.org/officeDocument/2006/relationships/customProperty" Target="../customProperty3.bin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Relationship Id="rId22" Type="http://schemas.openxmlformats.org/officeDocument/2006/relationships/control" Target="../activeX/activeX7.xml"/><Relationship Id="rId27" Type="http://schemas.openxmlformats.org/officeDocument/2006/relationships/image" Target="../media/image9.emf"/><Relationship Id="rId30" Type="http://schemas.openxmlformats.org/officeDocument/2006/relationships/control" Target="../activeX/activeX11.xml"/><Relationship Id="rId35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Relationship Id="rId5" Type="http://schemas.openxmlformats.org/officeDocument/2006/relationships/customProperty" Target="../customProperty11.bin"/><Relationship Id="rId4" Type="http://schemas.openxmlformats.org/officeDocument/2006/relationships/customProperty" Target="../customProperty10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0"/>
  <sheetViews>
    <sheetView tabSelected="1" workbookViewId="0">
      <pane ySplit="4" topLeftCell="A5" activePane="bottomLeft" state="frozen"/>
      <selection pane="bottomLeft" activeCell="D24" sqref="D24"/>
    </sheetView>
  </sheetViews>
  <sheetFormatPr defaultColWidth="9.140625" defaultRowHeight="12.75" x14ac:dyDescent="0.2"/>
  <cols>
    <col min="1" max="1" width="3.7109375" style="2" customWidth="1"/>
    <col min="2" max="2" width="13.28515625" style="2" bestFit="1" customWidth="1"/>
    <col min="3" max="3" width="8.140625" style="2" bestFit="1" customWidth="1"/>
    <col min="4" max="4" width="30.7109375" style="1" customWidth="1"/>
    <col min="5" max="5" width="20.7109375" style="1" customWidth="1"/>
    <col min="6" max="6" width="29.85546875" style="1" bestFit="1" customWidth="1"/>
    <col min="7" max="7" width="28.28515625" style="2" customWidth="1"/>
    <col min="8" max="16384" width="9.140625" style="2"/>
  </cols>
  <sheetData>
    <row r="1" spans="2:7" x14ac:dyDescent="0.2">
      <c r="F1" s="1" t="str">
        <f>_xll.GeodesiX.UDF.Geodesix("clicked")</f>
        <v/>
      </c>
      <c r="G1" s="2" t="str">
        <f>_xll.GeodesiX.UDF.Heat(2,1,10)</f>
        <v>3000C7</v>
      </c>
    </row>
    <row r="2" spans="2:7" x14ac:dyDescent="0.2">
      <c r="B2" s="15" t="s">
        <v>254</v>
      </c>
      <c r="D2" s="14"/>
      <c r="E2" s="14"/>
      <c r="F2" s="14"/>
      <c r="G2" s="14"/>
    </row>
    <row r="4" spans="2:7" s="4" customFormat="1" x14ac:dyDescent="0.2">
      <c r="B4" s="9" t="s">
        <v>11</v>
      </c>
      <c r="C4" s="9" t="s">
        <v>10</v>
      </c>
      <c r="D4" s="9" t="s">
        <v>17</v>
      </c>
      <c r="E4" s="9" t="s">
        <v>12</v>
      </c>
      <c r="F4" s="9" t="s">
        <v>244</v>
      </c>
      <c r="G4" s="9" t="s">
        <v>24</v>
      </c>
    </row>
    <row r="5" spans="2:7" ht="51" x14ac:dyDescent="0.2">
      <c r="B5" s="10" t="s">
        <v>30</v>
      </c>
      <c r="C5" s="10" t="s">
        <v>9</v>
      </c>
      <c r="D5" s="11" t="s">
        <v>255</v>
      </c>
      <c r="E5" s="11"/>
      <c r="F5" s="12" t="s">
        <v>242</v>
      </c>
      <c r="G5" s="10"/>
    </row>
    <row r="6" spans="2:7" ht="31.5" customHeight="1" x14ac:dyDescent="0.2">
      <c r="B6" s="10" t="s">
        <v>0</v>
      </c>
      <c r="C6" s="10" t="s">
        <v>8</v>
      </c>
      <c r="D6" s="11" t="s">
        <v>19</v>
      </c>
      <c r="E6" s="11"/>
      <c r="F6" s="12" t="s">
        <v>243</v>
      </c>
      <c r="G6" s="10"/>
    </row>
    <row r="7" spans="2:7" ht="63.75" x14ac:dyDescent="0.2">
      <c r="B7" s="10" t="s">
        <v>237</v>
      </c>
      <c r="C7" s="10" t="s">
        <v>8</v>
      </c>
      <c r="D7" s="11" t="s">
        <v>238</v>
      </c>
      <c r="E7" s="11" t="s">
        <v>249</v>
      </c>
      <c r="F7" s="12" t="str">
        <f>_xll.GeodesiX.UDF.JavaScript("drawCircle(1, 48.868916, 2.37793, 100000, 'Paris', 'navy', 1, 2, 'yellow', 0.2")</f>
        <v/>
      </c>
      <c r="G7" s="10"/>
    </row>
    <row r="8" spans="2:7" ht="51" x14ac:dyDescent="0.2">
      <c r="B8" s="10" t="s">
        <v>239</v>
      </c>
      <c r="C8" s="10" t="s">
        <v>8</v>
      </c>
      <c r="D8" s="13" t="s">
        <v>241</v>
      </c>
      <c r="E8" s="11" t="s">
        <v>250</v>
      </c>
      <c r="F8" s="11" t="s">
        <v>252</v>
      </c>
      <c r="G8" s="10"/>
    </row>
    <row r="9" spans="2:7" ht="63.75" x14ac:dyDescent="0.2">
      <c r="B9" s="10" t="s">
        <v>240</v>
      </c>
      <c r="C9" s="10" t="s">
        <v>8</v>
      </c>
      <c r="D9" s="11" t="s">
        <v>18</v>
      </c>
      <c r="E9" s="11" t="s">
        <v>251</v>
      </c>
      <c r="F9" s="12" t="s">
        <v>256</v>
      </c>
      <c r="G9" s="10"/>
    </row>
    <row r="10" spans="2:7" ht="53.25" customHeight="1" x14ac:dyDescent="0.2">
      <c r="B10" s="10" t="s">
        <v>1</v>
      </c>
      <c r="C10" s="10" t="s">
        <v>9</v>
      </c>
      <c r="D10" s="11" t="s">
        <v>264</v>
      </c>
      <c r="E10" s="11" t="s">
        <v>265</v>
      </c>
      <c r="F10" s="12" t="s">
        <v>266</v>
      </c>
      <c r="G10" s="10"/>
    </row>
    <row r="11" spans="2:7" ht="63.75" x14ac:dyDescent="0.2">
      <c r="B11" s="10" t="s">
        <v>2</v>
      </c>
      <c r="C11" s="10" t="s">
        <v>9</v>
      </c>
      <c r="D11" s="11" t="s">
        <v>22</v>
      </c>
      <c r="E11" s="12" t="s">
        <v>15</v>
      </c>
      <c r="F11" s="12" t="s">
        <v>257</v>
      </c>
      <c r="G11" s="10"/>
    </row>
    <row r="12" spans="2:7" ht="38.25" x14ac:dyDescent="0.2">
      <c r="B12" s="10" t="s">
        <v>3</v>
      </c>
      <c r="C12" s="10" t="s">
        <v>8</v>
      </c>
      <c r="D12" s="11" t="s">
        <v>20</v>
      </c>
      <c r="E12" s="11" t="s">
        <v>13</v>
      </c>
      <c r="F12" s="12" t="s">
        <v>245</v>
      </c>
      <c r="G12" s="10"/>
    </row>
    <row r="13" spans="2:7" ht="36" customHeight="1" x14ac:dyDescent="0.2">
      <c r="B13" s="10" t="s">
        <v>4</v>
      </c>
      <c r="C13" s="10" t="s">
        <v>9</v>
      </c>
      <c r="D13" s="11" t="s">
        <v>21</v>
      </c>
      <c r="E13" s="11" t="s">
        <v>16</v>
      </c>
      <c r="F13" s="12" t="s">
        <v>263</v>
      </c>
      <c r="G13" s="10"/>
    </row>
    <row r="14" spans="2:7" ht="63.75" x14ac:dyDescent="0.2">
      <c r="B14" s="10" t="s">
        <v>262</v>
      </c>
      <c r="C14" s="10" t="s">
        <v>9</v>
      </c>
      <c r="D14" s="17" t="s">
        <v>273</v>
      </c>
      <c r="E14" s="12" t="s">
        <v>15</v>
      </c>
      <c r="F14" s="12" t="s">
        <v>268</v>
      </c>
      <c r="G14" s="10"/>
    </row>
    <row r="15" spans="2:7" ht="45" customHeight="1" x14ac:dyDescent="0.2">
      <c r="B15" s="10" t="s">
        <v>5</v>
      </c>
      <c r="C15" s="10" t="s">
        <v>8</v>
      </c>
      <c r="D15" s="17" t="s">
        <v>275</v>
      </c>
      <c r="E15" s="11" t="s">
        <v>14</v>
      </c>
      <c r="F15" s="18" t="s">
        <v>274</v>
      </c>
      <c r="G15" s="10"/>
    </row>
    <row r="16" spans="2:7" ht="102" x14ac:dyDescent="0.2">
      <c r="B16" s="10" t="s">
        <v>31</v>
      </c>
      <c r="C16" s="10" t="s">
        <v>8</v>
      </c>
      <c r="D16" s="11" t="s">
        <v>236</v>
      </c>
      <c r="E16" s="11" t="s">
        <v>32</v>
      </c>
      <c r="F16" s="12" t="s">
        <v>246</v>
      </c>
      <c r="G16" s="10"/>
    </row>
    <row r="17" spans="2:7" ht="57" customHeight="1" x14ac:dyDescent="0.2">
      <c r="B17" s="10" t="s">
        <v>6</v>
      </c>
      <c r="C17" s="10" t="s">
        <v>9</v>
      </c>
      <c r="D17" s="11" t="s">
        <v>23</v>
      </c>
      <c r="E17" s="11"/>
      <c r="F17" s="12" t="s">
        <v>247</v>
      </c>
      <c r="G17" s="10"/>
    </row>
    <row r="18" spans="2:7" ht="48.75" customHeight="1" x14ac:dyDescent="0.2">
      <c r="B18" s="10" t="s">
        <v>7</v>
      </c>
      <c r="C18" s="10" t="s">
        <v>8</v>
      </c>
      <c r="D18" s="11" t="s">
        <v>253</v>
      </c>
      <c r="E18" s="11"/>
      <c r="F18" s="12" t="s">
        <v>248</v>
      </c>
      <c r="G18" s="10"/>
    </row>
    <row r="19" spans="2:7" x14ac:dyDescent="0.2">
      <c r="F19" s="3"/>
    </row>
    <row r="20" spans="2:7" x14ac:dyDescent="0.2">
      <c r="F20" s="3"/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  <customProperties>
    <customPr name="display" r:id="rId2"/>
    <customPr name="id" r:id="rId3"/>
    <customPr name="mapstyle" r:id="rId4"/>
    <customPr name="PaneHeight" r:id="rId5"/>
    <customPr name="PaneWidth" r:id="rId6"/>
    <customPr name="position" r:id="rId7"/>
  </customProperties>
  <drawing r:id="rId8"/>
  <legacyDrawing r:id="rId9"/>
  <controls>
    <mc:AlternateContent xmlns:mc="http://schemas.openxmlformats.org/markup-compatibility/2006">
      <mc:Choice Requires="x14">
        <control shapeId="1068" r:id="rId10" name="cmbRegion">
          <controlPr defaultSize="0" autoLine="0" listFillRange="Regions" r:id="rId11">
            <anchor moveWithCells="1">
              <from>
                <xdr:col>6</xdr:col>
                <xdr:colOff>180975</xdr:colOff>
                <xdr:row>13</xdr:row>
                <xdr:rowOff>171450</xdr:rowOff>
              </from>
              <to>
                <xdr:col>6</xdr:col>
                <xdr:colOff>1066800</xdr:colOff>
                <xdr:row>13</xdr:row>
                <xdr:rowOff>447675</xdr:rowOff>
              </to>
            </anchor>
          </controlPr>
        </control>
      </mc:Choice>
      <mc:Fallback>
        <control shapeId="1068" r:id="rId10" name="cmbRegion"/>
      </mc:Fallback>
    </mc:AlternateContent>
    <mc:AlternateContent xmlns:mc="http://schemas.openxmlformats.org/markup-compatibility/2006">
      <mc:Choice Requires="x14">
        <control shapeId="1067" r:id="rId12" name="cmbPosition">
          <controlPr defaultSize="0" autoLine="0" listFillRange="Positions" r:id="rId13">
            <anchor moveWithCells="1">
              <from>
                <xdr:col>6</xdr:col>
                <xdr:colOff>180975</xdr:colOff>
                <xdr:row>12</xdr:row>
                <xdr:rowOff>85725</xdr:rowOff>
              </from>
              <to>
                <xdr:col>6</xdr:col>
                <xdr:colOff>1000125</xdr:colOff>
                <xdr:row>12</xdr:row>
                <xdr:rowOff>323850</xdr:rowOff>
              </to>
            </anchor>
          </controlPr>
        </control>
      </mc:Choice>
      <mc:Fallback>
        <control shapeId="1067" r:id="rId12" name="cmbPosition"/>
      </mc:Fallback>
    </mc:AlternateContent>
    <mc:AlternateContent xmlns:mc="http://schemas.openxmlformats.org/markup-compatibility/2006">
      <mc:Choice Requires="x14">
        <control shapeId="1066" r:id="rId14" name="btnHelp">
          <controlPr defaultSize="0" autoLine="0" autoPict="0" r:id="rId15">
            <anchor moveWithCells="1">
              <from>
                <xdr:col>6</xdr:col>
                <xdr:colOff>114300</xdr:colOff>
                <xdr:row>9</xdr:row>
                <xdr:rowOff>57150</xdr:rowOff>
              </from>
              <to>
                <xdr:col>6</xdr:col>
                <xdr:colOff>1009650</xdr:colOff>
                <xdr:row>9</xdr:row>
                <xdr:rowOff>371475</xdr:rowOff>
              </to>
            </anchor>
          </controlPr>
        </control>
      </mc:Choice>
      <mc:Fallback>
        <control shapeId="1066" r:id="rId14" name="btnHelp"/>
      </mc:Fallback>
    </mc:AlternateContent>
    <mc:AlternateContent xmlns:mc="http://schemas.openxmlformats.org/markup-compatibility/2006">
      <mc:Choice Requires="x14">
        <control shapeId="1026" r:id="rId16" name="btnDefault">
          <controlPr defaultSize="0" autoLine="0" autoPict="0" r:id="rId17">
            <anchor moveWithCells="1">
              <from>
                <xdr:col>6</xdr:col>
                <xdr:colOff>133350</xdr:colOff>
                <xdr:row>5</xdr:row>
                <xdr:rowOff>66675</xdr:rowOff>
              </from>
              <to>
                <xdr:col>6</xdr:col>
                <xdr:colOff>857250</xdr:colOff>
                <xdr:row>5</xdr:row>
                <xdr:rowOff>381000</xdr:rowOff>
              </to>
            </anchor>
          </controlPr>
        </control>
      </mc:Choice>
      <mc:Fallback>
        <control shapeId="1026" r:id="rId16" name="btnDefault"/>
      </mc:Fallback>
    </mc:AlternateContent>
    <mc:AlternateContent xmlns:mc="http://schemas.openxmlformats.org/markup-compatibility/2006">
      <mc:Choice Requires="x14">
        <control shapeId="1027" r:id="rId18" name="btnDrawCircle">
          <controlPr defaultSize="0" autoLine="0" r:id="rId19">
            <anchor moveWithCells="1">
              <from>
                <xdr:col>6</xdr:col>
                <xdr:colOff>133350</xdr:colOff>
                <xdr:row>6</xdr:row>
                <xdr:rowOff>133350</xdr:rowOff>
              </from>
              <to>
                <xdr:col>6</xdr:col>
                <xdr:colOff>1257300</xdr:colOff>
                <xdr:row>6</xdr:row>
                <xdr:rowOff>447675</xdr:rowOff>
              </to>
            </anchor>
          </controlPr>
        </control>
      </mc:Choice>
      <mc:Fallback>
        <control shapeId="1027" r:id="rId18" name="btnDrawCircle"/>
      </mc:Fallback>
    </mc:AlternateContent>
    <mc:AlternateContent xmlns:mc="http://schemas.openxmlformats.org/markup-compatibility/2006">
      <mc:Choice Requires="x14">
        <control shapeId="1029" r:id="rId20" name="btnLocation">
          <controlPr defaultSize="0" autoLine="0" r:id="rId21">
            <anchor moveWithCells="1">
              <from>
                <xdr:col>6</xdr:col>
                <xdr:colOff>133350</xdr:colOff>
                <xdr:row>14</xdr:row>
                <xdr:rowOff>104775</xdr:rowOff>
              </from>
              <to>
                <xdr:col>6</xdr:col>
                <xdr:colOff>1171575</xdr:colOff>
                <xdr:row>14</xdr:row>
                <xdr:rowOff>419100</xdr:rowOff>
              </to>
            </anchor>
          </controlPr>
        </control>
      </mc:Choice>
      <mc:Fallback>
        <control shapeId="1029" r:id="rId20" name="btnLocation"/>
      </mc:Fallback>
    </mc:AlternateContent>
    <mc:AlternateContent xmlns:mc="http://schemas.openxmlformats.org/markup-compatibility/2006">
      <mc:Choice Requires="x14">
        <control shapeId="1031" r:id="rId22" name="btnZoomToContent">
          <controlPr defaultSize="0" autoLine="0" autoPict="0" r:id="rId23">
            <anchor moveWithCells="1">
              <from>
                <xdr:col>6</xdr:col>
                <xdr:colOff>133350</xdr:colOff>
                <xdr:row>17</xdr:row>
                <xdr:rowOff>133350</xdr:rowOff>
              </from>
              <to>
                <xdr:col>6</xdr:col>
                <xdr:colOff>1390650</xdr:colOff>
                <xdr:row>17</xdr:row>
                <xdr:rowOff>447675</xdr:rowOff>
              </to>
            </anchor>
          </controlPr>
        </control>
      </mc:Choice>
      <mc:Fallback>
        <control shapeId="1031" r:id="rId22" name="btnZoomToContent"/>
      </mc:Fallback>
    </mc:AlternateContent>
    <mc:AlternateContent xmlns:mc="http://schemas.openxmlformats.org/markup-compatibility/2006">
      <mc:Choice Requires="x14">
        <control shapeId="1038" r:id="rId24" name="btnSheet">
          <controlPr defaultSize="0" autoLine="0" autoPict="0" r:id="rId25">
            <anchor moveWithCells="1">
              <from>
                <xdr:col>6</xdr:col>
                <xdr:colOff>133350</xdr:colOff>
                <xdr:row>15</xdr:row>
                <xdr:rowOff>123825</xdr:rowOff>
              </from>
              <to>
                <xdr:col>6</xdr:col>
                <xdr:colOff>1524000</xdr:colOff>
                <xdr:row>15</xdr:row>
                <xdr:rowOff>438150</xdr:rowOff>
              </to>
            </anchor>
          </controlPr>
        </control>
      </mc:Choice>
      <mc:Fallback>
        <control shapeId="1038" r:id="rId24" name="btnSheet"/>
      </mc:Fallback>
    </mc:AlternateContent>
    <mc:AlternateContent xmlns:mc="http://schemas.openxmlformats.org/markup-compatibility/2006">
      <mc:Choice Requires="x14">
        <control shapeId="1041" r:id="rId26" name="btnClicked">
          <controlPr defaultSize="0" autoLine="0" autoPict="0" r:id="rId27">
            <anchor moveWithCells="1">
              <from>
                <xdr:col>6</xdr:col>
                <xdr:colOff>133350</xdr:colOff>
                <xdr:row>4</xdr:row>
                <xdr:rowOff>104775</xdr:rowOff>
              </from>
              <to>
                <xdr:col>6</xdr:col>
                <xdr:colOff>857250</xdr:colOff>
                <xdr:row>4</xdr:row>
                <xdr:rowOff>419100</xdr:rowOff>
              </to>
            </anchor>
          </controlPr>
        </control>
      </mc:Choice>
      <mc:Fallback>
        <control shapeId="1041" r:id="rId26" name="btnClicked"/>
      </mc:Fallback>
    </mc:AlternateContent>
    <mc:AlternateContent xmlns:mc="http://schemas.openxmlformats.org/markup-compatibility/2006">
      <mc:Choice Requires="x14">
        <control shapeId="1043" r:id="rId28" name="btnDrawLine">
          <controlPr defaultSize="0" autoLine="0" r:id="rId29">
            <anchor moveWithCells="1">
              <from>
                <xdr:col>6</xdr:col>
                <xdr:colOff>133350</xdr:colOff>
                <xdr:row>7</xdr:row>
                <xdr:rowOff>133350</xdr:rowOff>
              </from>
              <to>
                <xdr:col>6</xdr:col>
                <xdr:colOff>1590675</xdr:colOff>
                <xdr:row>7</xdr:row>
                <xdr:rowOff>447675</xdr:rowOff>
              </to>
            </anchor>
          </controlPr>
        </control>
      </mc:Choice>
      <mc:Fallback>
        <control shapeId="1043" r:id="rId28" name="btnDrawLine"/>
      </mc:Fallback>
    </mc:AlternateContent>
    <mc:AlternateContent xmlns:mc="http://schemas.openxmlformats.org/markup-compatibility/2006">
      <mc:Choice Requires="x14">
        <control shapeId="1048" r:id="rId30" name="btnGoogle">
          <controlPr defaultSize="0" autoLine="0" r:id="rId31">
            <anchor moveWithCells="1">
              <from>
                <xdr:col>6</xdr:col>
                <xdr:colOff>142875</xdr:colOff>
                <xdr:row>11</xdr:row>
                <xdr:rowOff>104775</xdr:rowOff>
              </from>
              <to>
                <xdr:col>6</xdr:col>
                <xdr:colOff>1181100</xdr:colOff>
                <xdr:row>11</xdr:row>
                <xdr:rowOff>419100</xdr:rowOff>
              </to>
            </anchor>
          </controlPr>
        </control>
      </mc:Choice>
      <mc:Fallback>
        <control shapeId="1048" r:id="rId30" name="btnGoogle"/>
      </mc:Fallback>
    </mc:AlternateContent>
    <mc:AlternateContent xmlns:mc="http://schemas.openxmlformats.org/markup-compatibility/2006">
      <mc:Choice Requires="x14">
        <control shapeId="1049" r:id="rId32" name="btnURL">
          <controlPr defaultSize="0" autoLine="0" r:id="rId33">
            <anchor moveWithCells="1">
              <from>
                <xdr:col>6</xdr:col>
                <xdr:colOff>133350</xdr:colOff>
                <xdr:row>16</xdr:row>
                <xdr:rowOff>66675</xdr:rowOff>
              </from>
              <to>
                <xdr:col>6</xdr:col>
                <xdr:colOff>1171575</xdr:colOff>
                <xdr:row>16</xdr:row>
                <xdr:rowOff>381000</xdr:rowOff>
              </to>
            </anchor>
          </controlPr>
        </control>
      </mc:Choice>
      <mc:Fallback>
        <control shapeId="1049" r:id="rId32" name="btnURL"/>
      </mc:Fallback>
    </mc:AlternateContent>
    <mc:AlternateContent xmlns:mc="http://schemas.openxmlformats.org/markup-compatibility/2006">
      <mc:Choice Requires="x14">
        <control shapeId="1050" r:id="rId34" name="btnDrawMarker">
          <controlPr defaultSize="0" autoLine="0" r:id="rId35">
            <anchor moveWithCells="1">
              <from>
                <xdr:col>6</xdr:col>
                <xdr:colOff>133350</xdr:colOff>
                <xdr:row>8</xdr:row>
                <xdr:rowOff>171450</xdr:rowOff>
              </from>
              <to>
                <xdr:col>6</xdr:col>
                <xdr:colOff>1714500</xdr:colOff>
                <xdr:row>8</xdr:row>
                <xdr:rowOff>485775</xdr:rowOff>
              </to>
            </anchor>
          </controlPr>
        </control>
      </mc:Choice>
      <mc:Fallback>
        <control shapeId="1050" r:id="rId34" name="btnDrawMarker"/>
      </mc:Fallback>
    </mc:AlternateContent>
    <mc:AlternateContent xmlns:mc="http://schemas.openxmlformats.org/markup-compatibility/2006">
      <mc:Choice Requires="x14">
        <control shapeId="1051" r:id="rId36" name="btnHideit">
          <controlPr defaultSize="0" autoLine="0" r:id="rId37">
            <anchor moveWithCells="1">
              <from>
                <xdr:col>6</xdr:col>
                <xdr:colOff>123825</xdr:colOff>
                <xdr:row>6</xdr:row>
                <xdr:rowOff>476250</xdr:rowOff>
              </from>
              <to>
                <xdr:col>6</xdr:col>
                <xdr:colOff>676275</xdr:colOff>
                <xdr:row>6</xdr:row>
                <xdr:rowOff>742950</xdr:rowOff>
              </to>
            </anchor>
          </controlPr>
        </control>
      </mc:Choice>
      <mc:Fallback>
        <control shapeId="1051" r:id="rId36" name="btnHideit"/>
      </mc:Fallback>
    </mc:AlternateContent>
    <mc:AlternateContent xmlns:mc="http://schemas.openxmlformats.org/markup-compatibility/2006">
      <mc:Choice Requires="x14">
        <control shapeId="1052" r:id="rId38" name="btnShowIt">
          <controlPr defaultSize="0" autoLine="0" r:id="rId39">
            <anchor moveWithCells="1">
              <from>
                <xdr:col>6</xdr:col>
                <xdr:colOff>723900</xdr:colOff>
                <xdr:row>6</xdr:row>
                <xdr:rowOff>476250</xdr:rowOff>
              </from>
              <to>
                <xdr:col>6</xdr:col>
                <xdr:colOff>1276350</xdr:colOff>
                <xdr:row>6</xdr:row>
                <xdr:rowOff>742950</xdr:rowOff>
              </to>
            </anchor>
          </controlPr>
        </control>
      </mc:Choice>
      <mc:Fallback>
        <control shapeId="1052" r:id="rId38" name="btnShowIt"/>
      </mc:Fallback>
    </mc:AlternateContent>
    <mc:AlternateContent xmlns:mc="http://schemas.openxmlformats.org/markup-compatibility/2006">
      <mc:Choice Requires="x14">
        <control shapeId="1065" r:id="rId40" name="cmbLanguage">
          <controlPr defaultSize="0" autoLine="0" listFillRange="Languages" r:id="rId41">
            <anchor moveWithCells="1">
              <from>
                <xdr:col>6</xdr:col>
                <xdr:colOff>152400</xdr:colOff>
                <xdr:row>10</xdr:row>
                <xdr:rowOff>114300</xdr:rowOff>
              </from>
              <to>
                <xdr:col>6</xdr:col>
                <xdr:colOff>695325</xdr:colOff>
                <xdr:row>10</xdr:row>
                <xdr:rowOff>361950</xdr:rowOff>
              </to>
            </anchor>
          </controlPr>
        </control>
      </mc:Choice>
      <mc:Fallback>
        <control shapeId="1065" r:id="rId40" name="cmbLanguag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"/>
  <sheetViews>
    <sheetView workbookViewId="0">
      <selection activeCell="D7" sqref="D7"/>
    </sheetView>
  </sheetViews>
  <sheetFormatPr defaultRowHeight="12.75" x14ac:dyDescent="0.2"/>
  <sheetData>
    <row r="1" spans="1:4" x14ac:dyDescent="0.2">
      <c r="A1" s="5" t="s">
        <v>28</v>
      </c>
      <c r="B1" t="s">
        <v>258</v>
      </c>
      <c r="C1" s="16" t="s">
        <v>269</v>
      </c>
      <c r="D1" t="s">
        <v>416</v>
      </c>
    </row>
    <row r="2" spans="1:4" x14ac:dyDescent="0.2">
      <c r="A2" s="5" t="s">
        <v>29</v>
      </c>
      <c r="B2" t="s">
        <v>259</v>
      </c>
      <c r="C2" s="16" t="s">
        <v>270</v>
      </c>
      <c r="D2" t="s">
        <v>417</v>
      </c>
    </row>
    <row r="3" spans="1:4" x14ac:dyDescent="0.2">
      <c r="B3" t="s">
        <v>260</v>
      </c>
      <c r="C3" s="16" t="s">
        <v>271</v>
      </c>
      <c r="D3" t="s">
        <v>418</v>
      </c>
    </row>
    <row r="4" spans="1:4" x14ac:dyDescent="0.2">
      <c r="B4" t="s">
        <v>267</v>
      </c>
      <c r="C4" s="16" t="s">
        <v>272</v>
      </c>
      <c r="D4" t="s">
        <v>267</v>
      </c>
    </row>
    <row r="5" spans="1:4" x14ac:dyDescent="0.2">
      <c r="B5" t="s">
        <v>261</v>
      </c>
      <c r="D5" t="s">
        <v>261</v>
      </c>
    </row>
    <row r="6" spans="1:4" x14ac:dyDescent="0.2">
      <c r="D6" t="s">
        <v>419</v>
      </c>
    </row>
  </sheetData>
  <phoneticPr fontId="0" type="noConversion"/>
  <pageMargins left="0.75" right="0.75" top="1" bottom="1" header="0.5" footer="0.5"/>
  <headerFooter alignWithMargins="0"/>
  <customProperties>
    <customPr name="display" r:id="rId1"/>
    <customPr name="id" r:id="rId2"/>
    <customPr name="mapstyle" r:id="rId3"/>
    <customPr name="PaneHeight" r:id="rId4"/>
    <customPr name="PaneWidth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workbookViewId="0">
      <selection activeCell="A28" sqref="A28:XFD28"/>
    </sheetView>
  </sheetViews>
  <sheetFormatPr defaultRowHeight="12.75" x14ac:dyDescent="0.2"/>
  <cols>
    <col min="1" max="1" width="22.85546875" style="8" bestFit="1" customWidth="1"/>
    <col min="2" max="3" width="11" style="8" bestFit="1" customWidth="1"/>
    <col min="4" max="5" width="9.140625" style="8"/>
    <col min="6" max="6" width="10.5703125" customWidth="1"/>
    <col min="7" max="7" width="14.28515625" bestFit="1" customWidth="1"/>
    <col min="8" max="8" width="11.28515625" bestFit="1" customWidth="1"/>
    <col min="9" max="9" width="17.28515625" customWidth="1"/>
    <col min="10" max="10" width="7.7109375" style="7" bestFit="1" customWidth="1"/>
    <col min="11" max="11" width="10.140625" style="7" bestFit="1" customWidth="1"/>
    <col min="12" max="12" width="7.5703125" style="7" bestFit="1" customWidth="1"/>
    <col min="13" max="13" width="6.5703125" style="7" bestFit="1" customWidth="1"/>
    <col min="14" max="14" width="8.7109375" customWidth="1"/>
  </cols>
  <sheetData>
    <row r="1" spans="1:22" x14ac:dyDescent="0.2">
      <c r="A1" s="6" t="s">
        <v>82</v>
      </c>
      <c r="B1" s="6" t="s">
        <v>26</v>
      </c>
      <c r="C1" s="6" t="s">
        <v>27</v>
      </c>
      <c r="D1" s="6" t="s">
        <v>83</v>
      </c>
      <c r="E1" s="6" t="s">
        <v>84</v>
      </c>
      <c r="F1" t="s">
        <v>25</v>
      </c>
      <c r="G1" t="s">
        <v>85</v>
      </c>
      <c r="H1" t="s">
        <v>86</v>
      </c>
      <c r="I1" t="s">
        <v>87</v>
      </c>
      <c r="J1" s="7" t="s">
        <v>88</v>
      </c>
      <c r="K1" s="7" t="s">
        <v>89</v>
      </c>
      <c r="L1" s="7" t="s">
        <v>90</v>
      </c>
      <c r="M1" s="7" t="s">
        <v>91</v>
      </c>
      <c r="N1" t="s">
        <v>92</v>
      </c>
      <c r="O1" t="s">
        <v>85</v>
      </c>
      <c r="P1" t="s">
        <v>86</v>
      </c>
      <c r="Q1" t="s">
        <v>93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</row>
    <row r="2" spans="1:22" x14ac:dyDescent="0.2">
      <c r="A2" s="8" t="str">
        <f>H2 &amp; " " &amp; G2</f>
        <v>Vienna Austria</v>
      </c>
      <c r="B2" s="8">
        <f>_xll.GeodesiX.UDF.Geocode(B$1,$A2)</f>
        <v>48.208069600000002</v>
      </c>
      <c r="C2" s="8">
        <f>_xll.GeodesiX.UDF.Geocode(C$1,$A2)</f>
        <v>16.371309499999999</v>
      </c>
      <c r="D2" s="8" t="s">
        <v>94</v>
      </c>
      <c r="E2" s="8" t="str">
        <f>"&lt;table&gt;"&amp;O2&amp;P2&amp;Q2&amp;R2&amp;S2&amp;T2&amp;U2&amp;V2&amp;"&lt;/table&gt;"</f>
        <v>&lt;table&gt;&lt;tr&gt;&lt;td&gt;State&lt;/td&gt;&lt;td&gt;Austria&lt;/td&gt;&lt;/tr&gt;&lt;tr&gt;&lt;td&gt;Capital&lt;/td&gt;&lt;td&gt;Vienna&lt;/td&gt;&lt;/tr&gt;&lt;tr&gt;&lt;td&gt;Constitutional name&lt;/td&gt;&lt;td&gt;Republik Österreich&lt;/td&gt;&lt;/tr&gt;&lt;tr&gt;&lt;td&gt;Joined&lt;/td&gt;&lt;td&gt;1995&lt;/td&gt;&lt;/tr&gt;&lt;tr&gt;&lt;td&gt;Population&lt;/td&gt;&lt;td&gt;8,372,930&lt;/td&gt;&lt;/tr&gt;&lt;tr&gt;&lt;td&gt;km²&lt;/td&gt;&lt;td&gt;83,871&lt;/td&gt;&lt;/tr&gt;&lt;tr&gt;&lt;td&gt;GDP&lt;/td&gt;&lt;td&gt;38,838&lt;/td&gt;&lt;/tr&gt;&lt;tr&gt;&lt;td&gt;Currency&lt;/td&gt;&lt;td&gt;Euro&lt;/td&gt;&lt;/tr&gt;&lt;/table&gt;</v>
      </c>
      <c r="F2" t="str">
        <f>_xll.GeodesiX.UDF.Geocode(F$1,$A2)</f>
        <v>OK</v>
      </c>
      <c r="G2" t="s">
        <v>33</v>
      </c>
      <c r="H2" t="s">
        <v>34</v>
      </c>
      <c r="I2" t="s">
        <v>95</v>
      </c>
      <c r="J2" s="7">
        <v>1995</v>
      </c>
      <c r="K2" s="7" t="s">
        <v>96</v>
      </c>
      <c r="L2" s="7" t="s">
        <v>97</v>
      </c>
      <c r="M2" s="7" t="s">
        <v>98</v>
      </c>
      <c r="N2" t="s">
        <v>99</v>
      </c>
      <c r="O2" t="str">
        <f t="shared" ref="O2:V27" si="0">"&lt;tr&gt;&lt;td&gt;" &amp; G$1&amp; "&lt;/td&gt;&lt;td&gt;" &amp; G2 &amp; "&lt;/td&gt;&lt;/tr&gt;"</f>
        <v>&lt;tr&gt;&lt;td&gt;State&lt;/td&gt;&lt;td&gt;Austria&lt;/td&gt;&lt;/tr&gt;</v>
      </c>
      <c r="P2" t="str">
        <f t="shared" si="0"/>
        <v>&lt;tr&gt;&lt;td&gt;Capital&lt;/td&gt;&lt;td&gt;Vienna&lt;/td&gt;&lt;/tr&gt;</v>
      </c>
      <c r="Q2" t="str">
        <f t="shared" si="0"/>
        <v>&lt;tr&gt;&lt;td&gt;Constitutional name&lt;/td&gt;&lt;td&gt;Republik Österreich&lt;/td&gt;&lt;/tr&gt;</v>
      </c>
      <c r="R2" t="str">
        <f t="shared" si="0"/>
        <v>&lt;tr&gt;&lt;td&gt;Joined&lt;/td&gt;&lt;td&gt;1995&lt;/td&gt;&lt;/tr&gt;</v>
      </c>
      <c r="S2" t="str">
        <f t="shared" si="0"/>
        <v>&lt;tr&gt;&lt;td&gt;Population&lt;/td&gt;&lt;td&gt;8,372,930&lt;/td&gt;&lt;/tr&gt;</v>
      </c>
      <c r="T2" t="str">
        <f t="shared" si="0"/>
        <v>&lt;tr&gt;&lt;td&gt;km²&lt;/td&gt;&lt;td&gt;83,871&lt;/td&gt;&lt;/tr&gt;</v>
      </c>
      <c r="U2" t="str">
        <f t="shared" si="0"/>
        <v>&lt;tr&gt;&lt;td&gt;GDP&lt;/td&gt;&lt;td&gt;38,838&lt;/td&gt;&lt;/tr&gt;</v>
      </c>
      <c r="V2" t="str">
        <f t="shared" si="0"/>
        <v>&lt;tr&gt;&lt;td&gt;Currency&lt;/td&gt;&lt;td&gt;Euro&lt;/td&gt;&lt;/tr&gt;</v>
      </c>
    </row>
    <row r="3" spans="1:22" x14ac:dyDescent="0.2">
      <c r="A3" s="8" t="str">
        <f t="shared" ref="A3:A27" si="1">H3 &amp; ", " &amp; G3</f>
        <v>Brussels, Belgium</v>
      </c>
      <c r="B3" s="8">
        <f>_xll.GeodesiX.UDF.Geocode(B$1,$A3)</f>
        <v>50.826045299999997</v>
      </c>
      <c r="C3" s="8">
        <f>_xll.GeodesiX.UDF.Geocode(C$1,$A3)</f>
        <v>4.3802051999999998</v>
      </c>
      <c r="D3" s="8" t="s">
        <v>100</v>
      </c>
      <c r="E3" s="8" t="str">
        <f t="shared" ref="E3:E27" si="2">"&lt;table&gt;"&amp;O3&amp;P3&amp;Q3&amp;R3&amp;S3&amp;T3&amp;U3&amp;V3&amp;"&lt;/table&gt;"</f>
        <v>&lt;table&gt;&lt;tr&gt;&lt;td&gt;State&lt;/td&gt;&lt;td&gt;Belgium&lt;/td&gt;&lt;/tr&gt;&lt;tr&gt;&lt;td&gt;Capital&lt;/td&gt;&lt;td&gt;Brussels&lt;/td&gt;&lt;/tr&gt;&lt;tr&gt;&lt;td&gt;Constitutional name&lt;/td&gt;&lt;td&gt;Koninkrijk België&lt;/td&gt;&lt;/tr&gt;&lt;tr&gt;&lt;td&gt;Joined&lt;/td&gt;&lt;td&gt;Founder&lt;/td&gt;&lt;/tr&gt;&lt;tr&gt;&lt;td&gt;Population&lt;/td&gt;&lt;td&gt;10,827,519&lt;/td&gt;&lt;/tr&gt;&lt;tr&gt;&lt;td&gt;km²&lt;/td&gt;&lt;td&gt;30,528&lt;/td&gt;&lt;/tr&gt;&lt;tr&gt;&lt;td&gt;GDP&lt;/td&gt;&lt;td&gt;35,421&lt;/td&gt;&lt;/tr&gt;&lt;tr&gt;&lt;td&gt;Currency&lt;/td&gt;&lt;td&gt;Euro&lt;/td&gt;&lt;/tr&gt;&lt;/table&gt;</v>
      </c>
      <c r="F3" t="str">
        <f>_xll.GeodesiX.UDF.Geocode(F$1,$A3)</f>
        <v>OK</v>
      </c>
      <c r="G3" t="s">
        <v>35</v>
      </c>
      <c r="H3" t="s">
        <v>36</v>
      </c>
      <c r="I3" t="s">
        <v>101</v>
      </c>
      <c r="J3" s="7" t="s">
        <v>102</v>
      </c>
      <c r="K3" s="7" t="s">
        <v>103</v>
      </c>
      <c r="L3" s="7" t="s">
        <v>104</v>
      </c>
      <c r="M3" s="7" t="s">
        <v>105</v>
      </c>
      <c r="N3" t="s">
        <v>99</v>
      </c>
      <c r="O3" t="str">
        <f t="shared" si="0"/>
        <v>&lt;tr&gt;&lt;td&gt;State&lt;/td&gt;&lt;td&gt;Belgium&lt;/td&gt;&lt;/tr&gt;</v>
      </c>
      <c r="P3" t="str">
        <f t="shared" si="0"/>
        <v>&lt;tr&gt;&lt;td&gt;Capital&lt;/td&gt;&lt;td&gt;Brussels&lt;/td&gt;&lt;/tr&gt;</v>
      </c>
      <c r="Q3" t="str">
        <f t="shared" si="0"/>
        <v>&lt;tr&gt;&lt;td&gt;Constitutional name&lt;/td&gt;&lt;td&gt;Koninkrijk België&lt;/td&gt;&lt;/tr&gt;</v>
      </c>
      <c r="R3" t="str">
        <f t="shared" si="0"/>
        <v>&lt;tr&gt;&lt;td&gt;Joined&lt;/td&gt;&lt;td&gt;Founder&lt;/td&gt;&lt;/tr&gt;</v>
      </c>
      <c r="S3" t="str">
        <f t="shared" si="0"/>
        <v>&lt;tr&gt;&lt;td&gt;Population&lt;/td&gt;&lt;td&gt;10,827,519&lt;/td&gt;&lt;/tr&gt;</v>
      </c>
      <c r="T3" t="str">
        <f t="shared" si="0"/>
        <v>&lt;tr&gt;&lt;td&gt;km²&lt;/td&gt;&lt;td&gt;30,528&lt;/td&gt;&lt;/tr&gt;</v>
      </c>
      <c r="U3" t="str">
        <f t="shared" si="0"/>
        <v>&lt;tr&gt;&lt;td&gt;GDP&lt;/td&gt;&lt;td&gt;35,421&lt;/td&gt;&lt;/tr&gt;</v>
      </c>
      <c r="V3" t="str">
        <f t="shared" si="0"/>
        <v>&lt;tr&gt;&lt;td&gt;Currency&lt;/td&gt;&lt;td&gt;Euro&lt;/td&gt;&lt;/tr&gt;</v>
      </c>
    </row>
    <row r="4" spans="1:22" x14ac:dyDescent="0.2">
      <c r="A4" s="8" t="str">
        <f t="shared" si="1"/>
        <v>Sofia, Bulgaria</v>
      </c>
      <c r="B4" s="8">
        <f>_xll.GeodesiX.UDF.Geocode(B$1,$A4)</f>
        <v>42.697708200000001</v>
      </c>
      <c r="C4" s="8">
        <f>_xll.GeodesiX.UDF.Geocode(C$1,$A4)</f>
        <v>23.3218675</v>
      </c>
      <c r="D4" s="8" t="s">
        <v>106</v>
      </c>
      <c r="E4" s="8" t="str">
        <f t="shared" si="2"/>
        <v>&lt;table&gt;&lt;tr&gt;&lt;td&gt;State&lt;/td&gt;&lt;td&gt;Bulgaria&lt;/td&gt;&lt;/tr&gt;&lt;tr&gt;&lt;td&gt;Capital&lt;/td&gt;&lt;td&gt;Sofia&lt;/td&gt;&lt;/tr&gt;&lt;tr&gt;&lt;td&gt;Constitutional name&lt;/td&gt;&lt;td&gt;Република България&lt;/td&gt;&lt;/tr&gt;&lt;tr&gt;&lt;td&gt;Joined&lt;/td&gt;&lt;td&gt;2007&lt;/td&gt;&lt;/tr&gt;&lt;tr&gt;&lt;td&gt;Population&lt;/td&gt;&lt;td&gt;7,576,751&lt;/td&gt;&lt;/tr&gt;&lt;tr&gt;&lt;td&gt;km²&lt;/td&gt;&lt;td&gt;110,910&lt;/td&gt;&lt;/tr&gt;&lt;tr&gt;&lt;td&gt;GDP&lt;/td&gt;&lt;td&gt;11,900&lt;/td&gt;&lt;/tr&gt;&lt;tr&gt;&lt;td&gt;Currency&lt;/td&gt;&lt;td&gt;Bulgarian Lev&lt;/td&gt;&lt;/tr&gt;&lt;/table&gt;</v>
      </c>
      <c r="F4" t="str">
        <f>_xll.GeodesiX.UDF.Geocode(F$1,$A4)</f>
        <v>OK</v>
      </c>
      <c r="G4" t="s">
        <v>37</v>
      </c>
      <c r="H4" t="s">
        <v>38</v>
      </c>
      <c r="I4" t="s">
        <v>107</v>
      </c>
      <c r="J4" s="7">
        <v>2007</v>
      </c>
      <c r="K4" s="7" t="s">
        <v>108</v>
      </c>
      <c r="L4" s="7" t="s">
        <v>109</v>
      </c>
      <c r="M4" s="7" t="s">
        <v>110</v>
      </c>
      <c r="N4" t="s">
        <v>111</v>
      </c>
      <c r="O4" t="str">
        <f t="shared" si="0"/>
        <v>&lt;tr&gt;&lt;td&gt;State&lt;/td&gt;&lt;td&gt;Bulgaria&lt;/td&gt;&lt;/tr&gt;</v>
      </c>
      <c r="P4" t="str">
        <f t="shared" si="0"/>
        <v>&lt;tr&gt;&lt;td&gt;Capital&lt;/td&gt;&lt;td&gt;Sofia&lt;/td&gt;&lt;/tr&gt;</v>
      </c>
      <c r="Q4" t="str">
        <f t="shared" si="0"/>
        <v>&lt;tr&gt;&lt;td&gt;Constitutional name&lt;/td&gt;&lt;td&gt;Република България&lt;/td&gt;&lt;/tr&gt;</v>
      </c>
      <c r="R4" t="str">
        <f t="shared" si="0"/>
        <v>&lt;tr&gt;&lt;td&gt;Joined&lt;/td&gt;&lt;td&gt;2007&lt;/td&gt;&lt;/tr&gt;</v>
      </c>
      <c r="S4" t="str">
        <f t="shared" si="0"/>
        <v>&lt;tr&gt;&lt;td&gt;Population&lt;/td&gt;&lt;td&gt;7,576,751&lt;/td&gt;&lt;/tr&gt;</v>
      </c>
      <c r="T4" t="str">
        <f t="shared" si="0"/>
        <v>&lt;tr&gt;&lt;td&gt;km²&lt;/td&gt;&lt;td&gt;110,910&lt;/td&gt;&lt;/tr&gt;</v>
      </c>
      <c r="U4" t="str">
        <f t="shared" si="0"/>
        <v>&lt;tr&gt;&lt;td&gt;GDP&lt;/td&gt;&lt;td&gt;11,900&lt;/td&gt;&lt;/tr&gt;</v>
      </c>
      <c r="V4" t="str">
        <f t="shared" si="0"/>
        <v>&lt;tr&gt;&lt;td&gt;Currency&lt;/td&gt;&lt;td&gt;Bulgarian Lev&lt;/td&gt;&lt;/tr&gt;</v>
      </c>
    </row>
    <row r="5" spans="1:22" x14ac:dyDescent="0.2">
      <c r="A5" s="8" t="str">
        <f t="shared" si="1"/>
        <v>Nicosia, Cyprus</v>
      </c>
      <c r="B5" s="8">
        <f>_xll.GeodesiX.UDF.Geocode(B$1,$A5)</f>
        <v>35.1855659</v>
      </c>
      <c r="C5" s="8">
        <f>_xll.GeodesiX.UDF.Geocode(C$1,$A5)</f>
        <v>33.382276400000002</v>
      </c>
      <c r="D5" s="8" t="s">
        <v>112</v>
      </c>
      <c r="E5" s="8" t="str">
        <f t="shared" si="2"/>
        <v>&lt;table&gt;&lt;tr&gt;&lt;td&gt;State&lt;/td&gt;&lt;td&gt;Cyprus&lt;/td&gt;&lt;/tr&gt;&lt;tr&gt;&lt;td&gt;Capital&lt;/td&gt;&lt;td&gt;Nicosia&lt;/td&gt;&lt;/tr&gt;&lt;tr&gt;&lt;td&gt;Constitutional name&lt;/td&gt;&lt;td&gt;Κυπριακή Δημοκρατία&lt;/td&gt;&lt;/tr&gt;&lt;tr&gt;&lt;td&gt;Joined&lt;/td&gt;&lt;td&gt;2004&lt;/td&gt;&lt;/tr&gt;&lt;tr&gt;&lt;td&gt;Population&lt;/td&gt;&lt;td&gt;801,851&lt;/td&gt;&lt;/tr&gt;&lt;tr&gt;&lt;td&gt;km²&lt;/td&gt;&lt;td&gt;9,251&lt;/td&gt;&lt;/tr&gt;&lt;tr&gt;&lt;td&gt;GDP&lt;/td&gt;&lt;td&gt;28,544&lt;/td&gt;&lt;/tr&gt;&lt;tr&gt;&lt;td&gt;Currency&lt;/td&gt;&lt;td&gt;Euro&lt;/td&gt;&lt;/tr&gt;&lt;/table&gt;</v>
      </c>
      <c r="F5" t="str">
        <f>_xll.GeodesiX.UDF.Geocode(F$1,$A5)</f>
        <v>OK</v>
      </c>
      <c r="G5" t="s">
        <v>40</v>
      </c>
      <c r="H5" t="s">
        <v>39</v>
      </c>
      <c r="I5" t="s">
        <v>113</v>
      </c>
      <c r="J5" s="7">
        <v>2004</v>
      </c>
      <c r="K5" s="7" t="s">
        <v>114</v>
      </c>
      <c r="L5" s="7" t="s">
        <v>115</v>
      </c>
      <c r="M5" s="7" t="s">
        <v>116</v>
      </c>
      <c r="N5" t="s">
        <v>99</v>
      </c>
      <c r="O5" t="str">
        <f t="shared" si="0"/>
        <v>&lt;tr&gt;&lt;td&gt;State&lt;/td&gt;&lt;td&gt;Cyprus&lt;/td&gt;&lt;/tr&gt;</v>
      </c>
      <c r="P5" t="str">
        <f t="shared" si="0"/>
        <v>&lt;tr&gt;&lt;td&gt;Capital&lt;/td&gt;&lt;td&gt;Nicosia&lt;/td&gt;&lt;/tr&gt;</v>
      </c>
      <c r="Q5" t="str">
        <f t="shared" si="0"/>
        <v>&lt;tr&gt;&lt;td&gt;Constitutional name&lt;/td&gt;&lt;td&gt;Κυπριακή Δημοκρατία&lt;/td&gt;&lt;/tr&gt;</v>
      </c>
      <c r="R5" t="str">
        <f t="shared" si="0"/>
        <v>&lt;tr&gt;&lt;td&gt;Joined&lt;/td&gt;&lt;td&gt;2004&lt;/td&gt;&lt;/tr&gt;</v>
      </c>
      <c r="S5" t="str">
        <f t="shared" si="0"/>
        <v>&lt;tr&gt;&lt;td&gt;Population&lt;/td&gt;&lt;td&gt;801,851&lt;/td&gt;&lt;/tr&gt;</v>
      </c>
      <c r="T5" t="str">
        <f t="shared" si="0"/>
        <v>&lt;tr&gt;&lt;td&gt;km²&lt;/td&gt;&lt;td&gt;9,251&lt;/td&gt;&lt;/tr&gt;</v>
      </c>
      <c r="U5" t="str">
        <f t="shared" si="0"/>
        <v>&lt;tr&gt;&lt;td&gt;GDP&lt;/td&gt;&lt;td&gt;28,544&lt;/td&gt;&lt;/tr&gt;</v>
      </c>
      <c r="V5" t="str">
        <f t="shared" si="0"/>
        <v>&lt;tr&gt;&lt;td&gt;Currency&lt;/td&gt;&lt;td&gt;Euro&lt;/td&gt;&lt;/tr&gt;</v>
      </c>
    </row>
    <row r="6" spans="1:22" x14ac:dyDescent="0.2">
      <c r="A6" s="8" t="str">
        <f t="shared" si="1"/>
        <v>Prague, Czech Republic</v>
      </c>
      <c r="B6" s="8">
        <f>_xll.GeodesiX.UDF.Geocode(B$1,$A6)</f>
        <v>50.075538100000003</v>
      </c>
      <c r="C6" s="8">
        <f>_xll.GeodesiX.UDF.Geocode(C$1,$A6)</f>
        <v>14.4378005</v>
      </c>
      <c r="D6" s="8" t="s">
        <v>117</v>
      </c>
      <c r="E6" s="8" t="str">
        <f t="shared" si="2"/>
        <v>&lt;table&gt;&lt;tr&gt;&lt;td&gt;State&lt;/td&gt;&lt;td&gt;Czech Republic&lt;/td&gt;&lt;/tr&gt;&lt;tr&gt;&lt;td&gt;Capital&lt;/td&gt;&lt;td&gt;Prague&lt;/td&gt;&lt;/tr&gt;&lt;tr&gt;&lt;td&gt;Constitutional name&lt;/td&gt;&lt;td&gt;Česká republika&lt;/td&gt;&lt;/tr&gt;&lt;tr&gt;&lt;td&gt;Joined&lt;/td&gt;&lt;td&gt;2004&lt;/td&gt;&lt;/tr&gt;&lt;tr&gt;&lt;td&gt;Population&lt;/td&gt;&lt;td&gt;10,512,397&lt;/td&gt;&lt;/tr&gt;&lt;tr&gt;&lt;td&gt;km²&lt;/td&gt;&lt;td&gt;78,866&lt;/td&gt;&lt;/tr&gt;&lt;tr&gt;&lt;td&gt;GDP&lt;/td&gt;&lt;td&gt;24,093&lt;/td&gt;&lt;/tr&gt;&lt;tr&gt;&lt;td&gt;Currency&lt;/td&gt;&lt;td&gt;Czech koruna&lt;/td&gt;&lt;/tr&gt;&lt;/table&gt;</v>
      </c>
      <c r="F6" t="str">
        <f>_xll.GeodesiX.UDF.Geocode(F$1,$A6)</f>
        <v>OK</v>
      </c>
      <c r="G6" t="s">
        <v>42</v>
      </c>
      <c r="H6" t="s">
        <v>41</v>
      </c>
      <c r="I6" t="s">
        <v>118</v>
      </c>
      <c r="J6" s="7">
        <v>2004</v>
      </c>
      <c r="K6" s="7" t="s">
        <v>119</v>
      </c>
      <c r="L6" s="7" t="s">
        <v>120</v>
      </c>
      <c r="M6" s="7" t="s">
        <v>121</v>
      </c>
      <c r="N6" t="s">
        <v>122</v>
      </c>
      <c r="O6" t="str">
        <f t="shared" si="0"/>
        <v>&lt;tr&gt;&lt;td&gt;State&lt;/td&gt;&lt;td&gt;Czech Republic&lt;/td&gt;&lt;/tr&gt;</v>
      </c>
      <c r="P6" t="str">
        <f t="shared" si="0"/>
        <v>&lt;tr&gt;&lt;td&gt;Capital&lt;/td&gt;&lt;td&gt;Prague&lt;/td&gt;&lt;/tr&gt;</v>
      </c>
      <c r="Q6" t="str">
        <f t="shared" si="0"/>
        <v>&lt;tr&gt;&lt;td&gt;Constitutional name&lt;/td&gt;&lt;td&gt;Česká republika&lt;/td&gt;&lt;/tr&gt;</v>
      </c>
      <c r="R6" t="str">
        <f t="shared" si="0"/>
        <v>&lt;tr&gt;&lt;td&gt;Joined&lt;/td&gt;&lt;td&gt;2004&lt;/td&gt;&lt;/tr&gt;</v>
      </c>
      <c r="S6" t="str">
        <f t="shared" si="0"/>
        <v>&lt;tr&gt;&lt;td&gt;Population&lt;/td&gt;&lt;td&gt;10,512,397&lt;/td&gt;&lt;/tr&gt;</v>
      </c>
      <c r="T6" t="str">
        <f t="shared" si="0"/>
        <v>&lt;tr&gt;&lt;td&gt;km²&lt;/td&gt;&lt;td&gt;78,866&lt;/td&gt;&lt;/tr&gt;</v>
      </c>
      <c r="U6" t="str">
        <f t="shared" si="0"/>
        <v>&lt;tr&gt;&lt;td&gt;GDP&lt;/td&gt;&lt;td&gt;24,093&lt;/td&gt;&lt;/tr&gt;</v>
      </c>
      <c r="V6" t="str">
        <f t="shared" si="0"/>
        <v>&lt;tr&gt;&lt;td&gt;Currency&lt;/td&gt;&lt;td&gt;Czech koruna&lt;/td&gt;&lt;/tr&gt;</v>
      </c>
    </row>
    <row r="7" spans="1:22" x14ac:dyDescent="0.2">
      <c r="A7" s="8" t="str">
        <f t="shared" si="1"/>
        <v>Copenhagen, Denmark</v>
      </c>
      <c r="B7" s="8">
        <f>_xll.GeodesiX.UDF.Geocode(B$1,$A7)</f>
        <v>55.676096800000003</v>
      </c>
      <c r="C7" s="8">
        <f>_xll.GeodesiX.UDF.Geocode(C$1,$A7)</f>
        <v>12.568337100000001</v>
      </c>
      <c r="D7" s="8" t="s">
        <v>123</v>
      </c>
      <c r="E7" s="8" t="str">
        <f t="shared" si="2"/>
        <v>&lt;table&gt;&lt;tr&gt;&lt;td&gt;State&lt;/td&gt;&lt;td&gt;Denmark&lt;/td&gt;&lt;/tr&gt;&lt;tr&gt;&lt;td&gt;Capital&lt;/td&gt;&lt;td&gt;Copenhagen&lt;/td&gt;&lt;/tr&gt;&lt;tr&gt;&lt;td&gt;Constitutional name&lt;/td&gt;&lt;td&gt;Kongeriget Danmark&lt;/td&gt;&lt;/tr&gt;&lt;tr&gt;&lt;td&gt;Joined&lt;/td&gt;&lt;td&gt;1973&lt;/td&gt;&lt;/tr&gt;&lt;tr&gt;&lt;td&gt;Population&lt;/td&gt;&lt;td&gt;5,547,088&lt;/td&gt;&lt;/tr&gt;&lt;tr&gt;&lt;td&gt;km²&lt;/td&gt;&lt;td&gt;43,094&lt;/td&gt;&lt;/tr&gt;&lt;tr&gt;&lt;td&gt;GDP&lt;/td&gt;&lt;td&gt;35,757&lt;/td&gt;&lt;/tr&gt;&lt;tr&gt;&lt;td&gt;Currency&lt;/td&gt;&lt;td&gt;Danish krone&lt;/td&gt;&lt;/tr&gt;&lt;/table&gt;</v>
      </c>
      <c r="F7" t="str">
        <f>_xll.GeodesiX.UDF.Geocode(F$1,$A7)</f>
        <v>OK</v>
      </c>
      <c r="G7" t="s">
        <v>43</v>
      </c>
      <c r="H7" t="s">
        <v>44</v>
      </c>
      <c r="I7" t="s">
        <v>124</v>
      </c>
      <c r="J7" s="7">
        <v>1973</v>
      </c>
      <c r="K7" s="7" t="s">
        <v>125</v>
      </c>
      <c r="L7" s="7" t="s">
        <v>126</v>
      </c>
      <c r="M7" s="7" t="s">
        <v>127</v>
      </c>
      <c r="N7" t="s">
        <v>128</v>
      </c>
      <c r="O7" t="str">
        <f t="shared" si="0"/>
        <v>&lt;tr&gt;&lt;td&gt;State&lt;/td&gt;&lt;td&gt;Denmark&lt;/td&gt;&lt;/tr&gt;</v>
      </c>
      <c r="P7" t="str">
        <f t="shared" si="0"/>
        <v>&lt;tr&gt;&lt;td&gt;Capital&lt;/td&gt;&lt;td&gt;Copenhagen&lt;/td&gt;&lt;/tr&gt;</v>
      </c>
      <c r="Q7" t="str">
        <f t="shared" si="0"/>
        <v>&lt;tr&gt;&lt;td&gt;Constitutional name&lt;/td&gt;&lt;td&gt;Kongeriget Danmark&lt;/td&gt;&lt;/tr&gt;</v>
      </c>
      <c r="R7" t="str">
        <f t="shared" si="0"/>
        <v>&lt;tr&gt;&lt;td&gt;Joined&lt;/td&gt;&lt;td&gt;1973&lt;/td&gt;&lt;/tr&gt;</v>
      </c>
      <c r="S7" t="str">
        <f t="shared" si="0"/>
        <v>&lt;tr&gt;&lt;td&gt;Population&lt;/td&gt;&lt;td&gt;5,547,088&lt;/td&gt;&lt;/tr&gt;</v>
      </c>
      <c r="T7" t="str">
        <f t="shared" si="0"/>
        <v>&lt;tr&gt;&lt;td&gt;km²&lt;/td&gt;&lt;td&gt;43,094&lt;/td&gt;&lt;/tr&gt;</v>
      </c>
      <c r="U7" t="str">
        <f t="shared" si="0"/>
        <v>&lt;tr&gt;&lt;td&gt;GDP&lt;/td&gt;&lt;td&gt;35,757&lt;/td&gt;&lt;/tr&gt;</v>
      </c>
      <c r="V7" t="str">
        <f t="shared" si="0"/>
        <v>&lt;tr&gt;&lt;td&gt;Currency&lt;/td&gt;&lt;td&gt;Danish krone&lt;/td&gt;&lt;/tr&gt;</v>
      </c>
    </row>
    <row r="8" spans="1:22" x14ac:dyDescent="0.2">
      <c r="A8" s="8" t="str">
        <f t="shared" si="1"/>
        <v>Tallinn, Estonia</v>
      </c>
      <c r="B8" s="8">
        <f>_xll.GeodesiX.UDF.Geocode(B$1,$A8)</f>
        <v>59.436960800000001</v>
      </c>
      <c r="C8" s="8">
        <f>_xll.GeodesiX.UDF.Geocode(C$1,$A8)</f>
        <v>24.7535746</v>
      </c>
      <c r="D8" s="8" t="s">
        <v>129</v>
      </c>
      <c r="E8" s="8" t="str">
        <f t="shared" si="2"/>
        <v>&lt;table&gt;&lt;tr&gt;&lt;td&gt;State&lt;/td&gt;&lt;td&gt;Estonia&lt;/td&gt;&lt;/tr&gt;&lt;tr&gt;&lt;td&gt;Capital&lt;/td&gt;&lt;td&gt;Tallinn&lt;/td&gt;&lt;/tr&gt;&lt;tr&gt;&lt;td&gt;Constitutional name&lt;/td&gt;&lt;td&gt;Eesti Vabariik&lt;/td&gt;&lt;/tr&gt;&lt;tr&gt;&lt;td&gt;Joined&lt;/td&gt;&lt;td&gt;2004&lt;/td&gt;&lt;/tr&gt;&lt;tr&gt;&lt;td&gt;Population&lt;/td&gt;&lt;td&gt;1,340,274&lt;/td&gt;&lt;/tr&gt;&lt;tr&gt;&lt;td&gt;km²&lt;/td&gt;&lt;td&gt;45,226&lt;/td&gt;&lt;/tr&gt;&lt;tr&gt;&lt;td&gt;GDP&lt;/td&gt;&lt;td&gt;17,908&lt;/td&gt;&lt;/tr&gt;&lt;tr&gt;&lt;td&gt;Currency&lt;/td&gt;&lt;td&gt;Euro&lt;/td&gt;&lt;/tr&gt;&lt;/table&gt;</v>
      </c>
      <c r="F8" t="str">
        <f>_xll.GeodesiX.UDF.Geocode(F$1,$A8)</f>
        <v>OK</v>
      </c>
      <c r="G8" t="s">
        <v>45</v>
      </c>
      <c r="H8" t="s">
        <v>46</v>
      </c>
      <c r="I8" t="s">
        <v>130</v>
      </c>
      <c r="J8" s="7">
        <v>2004</v>
      </c>
      <c r="K8" s="7" t="s">
        <v>131</v>
      </c>
      <c r="L8" s="7" t="s">
        <v>132</v>
      </c>
      <c r="M8" s="7" t="s">
        <v>133</v>
      </c>
      <c r="N8" t="s">
        <v>99</v>
      </c>
      <c r="O8" t="str">
        <f t="shared" si="0"/>
        <v>&lt;tr&gt;&lt;td&gt;State&lt;/td&gt;&lt;td&gt;Estonia&lt;/td&gt;&lt;/tr&gt;</v>
      </c>
      <c r="P8" t="str">
        <f t="shared" si="0"/>
        <v>&lt;tr&gt;&lt;td&gt;Capital&lt;/td&gt;&lt;td&gt;Tallinn&lt;/td&gt;&lt;/tr&gt;</v>
      </c>
      <c r="Q8" t="str">
        <f t="shared" si="0"/>
        <v>&lt;tr&gt;&lt;td&gt;Constitutional name&lt;/td&gt;&lt;td&gt;Eesti Vabariik&lt;/td&gt;&lt;/tr&gt;</v>
      </c>
      <c r="R8" t="str">
        <f t="shared" si="0"/>
        <v>&lt;tr&gt;&lt;td&gt;Joined&lt;/td&gt;&lt;td&gt;2004&lt;/td&gt;&lt;/tr&gt;</v>
      </c>
      <c r="S8" t="str">
        <f t="shared" si="0"/>
        <v>&lt;tr&gt;&lt;td&gt;Population&lt;/td&gt;&lt;td&gt;1,340,274&lt;/td&gt;&lt;/tr&gt;</v>
      </c>
      <c r="T8" t="str">
        <f t="shared" si="0"/>
        <v>&lt;tr&gt;&lt;td&gt;km²&lt;/td&gt;&lt;td&gt;45,226&lt;/td&gt;&lt;/tr&gt;</v>
      </c>
      <c r="U8" t="str">
        <f t="shared" si="0"/>
        <v>&lt;tr&gt;&lt;td&gt;GDP&lt;/td&gt;&lt;td&gt;17,908&lt;/td&gt;&lt;/tr&gt;</v>
      </c>
      <c r="V8" t="str">
        <f t="shared" si="0"/>
        <v>&lt;tr&gt;&lt;td&gt;Currency&lt;/td&gt;&lt;td&gt;Euro&lt;/td&gt;&lt;/tr&gt;</v>
      </c>
    </row>
    <row r="9" spans="1:22" x14ac:dyDescent="0.2">
      <c r="A9" s="8" t="str">
        <f t="shared" si="1"/>
        <v>Helsinki, Finland</v>
      </c>
      <c r="B9" s="8">
        <f>_xll.GeodesiX.UDF.Geocode(B$1,$A9)</f>
        <v>60.169855699999999</v>
      </c>
      <c r="C9" s="8">
        <f>_xll.GeodesiX.UDF.Geocode(C$1,$A9)</f>
        <v>24.938379000000001</v>
      </c>
      <c r="D9" s="8" t="s">
        <v>134</v>
      </c>
      <c r="E9" s="8" t="str">
        <f t="shared" si="2"/>
        <v>&lt;table&gt;&lt;tr&gt;&lt;td&gt;State&lt;/td&gt;&lt;td&gt;Finland&lt;/td&gt;&lt;/tr&gt;&lt;tr&gt;&lt;td&gt;Capital&lt;/td&gt;&lt;td&gt;Helsinki&lt;/td&gt;&lt;/tr&gt;&lt;tr&gt;&lt;td&gt;Constitutional name&lt;/td&gt;&lt;td&gt;Suomen tasavalta&lt;/td&gt;&lt;/tr&gt;&lt;tr&gt;&lt;td&gt;Joined&lt;/td&gt;&lt;td&gt;1995&lt;/td&gt;&lt;/tr&gt;&lt;tr&gt;&lt;td&gt;Population&lt;/td&gt;&lt;td&gt;5,350,475&lt;/td&gt;&lt;/tr&gt;&lt;tr&gt;&lt;td&gt;km²&lt;/td&gt;&lt;td&gt;338,145&lt;/td&gt;&lt;/tr&gt;&lt;tr&gt;&lt;td&gt;GDP&lt;/td&gt;&lt;td&gt;33,555&lt;/td&gt;&lt;/tr&gt;&lt;tr&gt;&lt;td&gt;Currency&lt;/td&gt;&lt;td&gt;Euro&lt;/td&gt;&lt;/tr&gt;&lt;/table&gt;</v>
      </c>
      <c r="F9" t="str">
        <f>_xll.GeodesiX.UDF.Geocode(F$1,$A9)</f>
        <v>OK</v>
      </c>
      <c r="G9" t="s">
        <v>47</v>
      </c>
      <c r="H9" t="s">
        <v>48</v>
      </c>
      <c r="I9" t="s">
        <v>135</v>
      </c>
      <c r="J9" s="7">
        <v>1995</v>
      </c>
      <c r="K9" s="7" t="s">
        <v>136</v>
      </c>
      <c r="L9" s="7" t="s">
        <v>137</v>
      </c>
      <c r="M9" s="7" t="s">
        <v>138</v>
      </c>
      <c r="N9" t="s">
        <v>99</v>
      </c>
      <c r="O9" t="str">
        <f t="shared" si="0"/>
        <v>&lt;tr&gt;&lt;td&gt;State&lt;/td&gt;&lt;td&gt;Finland&lt;/td&gt;&lt;/tr&gt;</v>
      </c>
      <c r="P9" t="str">
        <f t="shared" si="0"/>
        <v>&lt;tr&gt;&lt;td&gt;Capital&lt;/td&gt;&lt;td&gt;Helsinki&lt;/td&gt;&lt;/tr&gt;</v>
      </c>
      <c r="Q9" t="str">
        <f t="shared" si="0"/>
        <v>&lt;tr&gt;&lt;td&gt;Constitutional name&lt;/td&gt;&lt;td&gt;Suomen tasavalta&lt;/td&gt;&lt;/tr&gt;</v>
      </c>
      <c r="R9" t="str">
        <f t="shared" si="0"/>
        <v>&lt;tr&gt;&lt;td&gt;Joined&lt;/td&gt;&lt;td&gt;1995&lt;/td&gt;&lt;/tr&gt;</v>
      </c>
      <c r="S9" t="str">
        <f t="shared" si="0"/>
        <v>&lt;tr&gt;&lt;td&gt;Population&lt;/td&gt;&lt;td&gt;5,350,475&lt;/td&gt;&lt;/tr&gt;</v>
      </c>
      <c r="T9" t="str">
        <f t="shared" si="0"/>
        <v>&lt;tr&gt;&lt;td&gt;km²&lt;/td&gt;&lt;td&gt;338,145&lt;/td&gt;&lt;/tr&gt;</v>
      </c>
      <c r="U9" t="str">
        <f t="shared" si="0"/>
        <v>&lt;tr&gt;&lt;td&gt;GDP&lt;/td&gt;&lt;td&gt;33,555&lt;/td&gt;&lt;/tr&gt;</v>
      </c>
      <c r="V9" t="str">
        <f t="shared" si="0"/>
        <v>&lt;tr&gt;&lt;td&gt;Currency&lt;/td&gt;&lt;td&gt;Euro&lt;/td&gt;&lt;/tr&gt;</v>
      </c>
    </row>
    <row r="10" spans="1:22" x14ac:dyDescent="0.2">
      <c r="A10" s="8" t="str">
        <f t="shared" si="1"/>
        <v>Paris, France</v>
      </c>
      <c r="B10" s="8">
        <f>_xll.GeodesiX.UDF.Geocode(B$1,$A10)</f>
        <v>48.857547500000003</v>
      </c>
      <c r="C10" s="8">
        <f>_xll.GeodesiX.UDF.Geocode(C$1,$A10)</f>
        <v>2.3513765000000002</v>
      </c>
      <c r="D10" s="8" t="s">
        <v>139</v>
      </c>
      <c r="E10" s="8" t="str">
        <f t="shared" si="2"/>
        <v>&lt;table&gt;&lt;tr&gt;&lt;td&gt;State&lt;/td&gt;&lt;td&gt;France&lt;/td&gt;&lt;/tr&gt;&lt;tr&gt;&lt;td&gt;Capital&lt;/td&gt;&lt;td&gt;Paris&lt;/td&gt;&lt;/tr&gt;&lt;tr&gt;&lt;td&gt;Constitutional name&lt;/td&gt;&lt;td&gt;République française&lt;/td&gt;&lt;/tr&gt;&lt;tr&gt;&lt;td&gt;Joined&lt;/td&gt;&lt;td&gt;Founder&lt;/td&gt;&lt;/tr&gt;&lt;tr&gt;&lt;td&gt;Population&lt;/td&gt;&lt;td&gt;64,709,480&lt;/td&gt;&lt;/tr&gt;&lt;tr&gt;&lt;td&gt;km²&lt;/td&gt;&lt;td&gt;674,843&lt;/td&gt;&lt;/tr&gt;&lt;tr&gt;&lt;td&gt;GDP&lt;/td&gt;&lt;td&gt;33,678&lt;/td&gt;&lt;/tr&gt;&lt;tr&gt;&lt;td&gt;Currency&lt;/td&gt;&lt;td&gt;Euro&lt;/td&gt;&lt;/tr&gt;&lt;/table&gt;</v>
      </c>
      <c r="F10" t="str">
        <f>_xll.GeodesiX.UDF.Geocode(F$1,$A10)</f>
        <v>OK</v>
      </c>
      <c r="G10" t="s">
        <v>50</v>
      </c>
      <c r="H10" t="s">
        <v>49</v>
      </c>
      <c r="I10" t="s">
        <v>140</v>
      </c>
      <c r="J10" s="7" t="s">
        <v>102</v>
      </c>
      <c r="K10" s="7" t="s">
        <v>141</v>
      </c>
      <c r="L10" s="7" t="s">
        <v>142</v>
      </c>
      <c r="M10" s="7" t="s">
        <v>143</v>
      </c>
      <c r="N10" t="s">
        <v>99</v>
      </c>
      <c r="O10" t="str">
        <f t="shared" si="0"/>
        <v>&lt;tr&gt;&lt;td&gt;State&lt;/td&gt;&lt;td&gt;France&lt;/td&gt;&lt;/tr&gt;</v>
      </c>
      <c r="P10" t="str">
        <f t="shared" si="0"/>
        <v>&lt;tr&gt;&lt;td&gt;Capital&lt;/td&gt;&lt;td&gt;Paris&lt;/td&gt;&lt;/tr&gt;</v>
      </c>
      <c r="Q10" t="str">
        <f t="shared" si="0"/>
        <v>&lt;tr&gt;&lt;td&gt;Constitutional name&lt;/td&gt;&lt;td&gt;République française&lt;/td&gt;&lt;/tr&gt;</v>
      </c>
      <c r="R10" t="str">
        <f t="shared" si="0"/>
        <v>&lt;tr&gt;&lt;td&gt;Joined&lt;/td&gt;&lt;td&gt;Founder&lt;/td&gt;&lt;/tr&gt;</v>
      </c>
      <c r="S10" t="str">
        <f t="shared" si="0"/>
        <v>&lt;tr&gt;&lt;td&gt;Population&lt;/td&gt;&lt;td&gt;64,709,480&lt;/td&gt;&lt;/tr&gt;</v>
      </c>
      <c r="T10" t="str">
        <f t="shared" si="0"/>
        <v>&lt;tr&gt;&lt;td&gt;km²&lt;/td&gt;&lt;td&gt;674,843&lt;/td&gt;&lt;/tr&gt;</v>
      </c>
      <c r="U10" t="str">
        <f t="shared" si="0"/>
        <v>&lt;tr&gt;&lt;td&gt;GDP&lt;/td&gt;&lt;td&gt;33,678&lt;/td&gt;&lt;/tr&gt;</v>
      </c>
      <c r="V10" t="str">
        <f t="shared" si="0"/>
        <v>&lt;tr&gt;&lt;td&gt;Currency&lt;/td&gt;&lt;td&gt;Euro&lt;/td&gt;&lt;/tr&gt;</v>
      </c>
    </row>
    <row r="11" spans="1:22" x14ac:dyDescent="0.2">
      <c r="A11" s="8" t="str">
        <f t="shared" si="1"/>
        <v>Berlin, Germany</v>
      </c>
      <c r="B11" s="8">
        <f>_xll.GeodesiX.UDF.Geocode(B$1,$A11)</f>
        <v>52.520006600000002</v>
      </c>
      <c r="C11" s="8">
        <f>_xll.GeodesiX.UDF.Geocode(C$1,$A11)</f>
        <v>13.404954</v>
      </c>
      <c r="D11" s="8" t="s">
        <v>144</v>
      </c>
      <c r="E11" s="8" t="str">
        <f t="shared" si="2"/>
        <v>&lt;table&gt;&lt;tr&gt;&lt;td&gt;State&lt;/td&gt;&lt;td&gt;Germany&lt;/td&gt;&lt;/tr&gt;&lt;tr&gt;&lt;td&gt;Capital&lt;/td&gt;&lt;td&gt;Berlin&lt;/td&gt;&lt;/tr&gt;&lt;tr&gt;&lt;td&gt;Constitutional name&lt;/td&gt;&lt;td&gt;Bundesrepublik Deutschland&lt;/td&gt;&lt;/tr&gt;&lt;tr&gt;&lt;td&gt;Joined&lt;/td&gt;&lt;td&gt;Founder&lt;/td&gt;&lt;/tr&gt;&lt;tr&gt;&lt;td&gt;Population&lt;/td&gt;&lt;td&gt;81,757,595&lt;/td&gt;&lt;/tr&gt;&lt;tr&gt;&lt;td&gt;km²&lt;/td&gt;&lt;td&gt;357,050&lt;/td&gt;&lt;/tr&gt;&lt;tr&gt;&lt;td&gt;GDP&lt;/td&gt;&lt;td&gt;34,212&lt;/td&gt;&lt;/tr&gt;&lt;tr&gt;&lt;td&gt;Currency&lt;/td&gt;&lt;td&gt;Euro&lt;/td&gt;&lt;/tr&gt;&lt;/table&gt;</v>
      </c>
      <c r="F11" t="str">
        <f>_xll.GeodesiX.UDF.Geocode(F$1,$A11)</f>
        <v>OK</v>
      </c>
      <c r="G11" t="s">
        <v>52</v>
      </c>
      <c r="H11" t="s">
        <v>51</v>
      </c>
      <c r="I11" t="s">
        <v>145</v>
      </c>
      <c r="J11" s="7" t="s">
        <v>102</v>
      </c>
      <c r="K11" s="7" t="s">
        <v>146</v>
      </c>
      <c r="L11" s="7" t="s">
        <v>147</v>
      </c>
      <c r="M11" s="7" t="s">
        <v>148</v>
      </c>
      <c r="N11" t="s">
        <v>99</v>
      </c>
      <c r="O11" t="str">
        <f t="shared" si="0"/>
        <v>&lt;tr&gt;&lt;td&gt;State&lt;/td&gt;&lt;td&gt;Germany&lt;/td&gt;&lt;/tr&gt;</v>
      </c>
      <c r="P11" t="str">
        <f t="shared" si="0"/>
        <v>&lt;tr&gt;&lt;td&gt;Capital&lt;/td&gt;&lt;td&gt;Berlin&lt;/td&gt;&lt;/tr&gt;</v>
      </c>
      <c r="Q11" t="str">
        <f t="shared" si="0"/>
        <v>&lt;tr&gt;&lt;td&gt;Constitutional name&lt;/td&gt;&lt;td&gt;Bundesrepublik Deutschland&lt;/td&gt;&lt;/tr&gt;</v>
      </c>
      <c r="R11" t="str">
        <f t="shared" si="0"/>
        <v>&lt;tr&gt;&lt;td&gt;Joined&lt;/td&gt;&lt;td&gt;Founder&lt;/td&gt;&lt;/tr&gt;</v>
      </c>
      <c r="S11" t="str">
        <f t="shared" si="0"/>
        <v>&lt;tr&gt;&lt;td&gt;Population&lt;/td&gt;&lt;td&gt;81,757,595&lt;/td&gt;&lt;/tr&gt;</v>
      </c>
      <c r="T11" t="str">
        <f t="shared" si="0"/>
        <v>&lt;tr&gt;&lt;td&gt;km²&lt;/td&gt;&lt;td&gt;357,050&lt;/td&gt;&lt;/tr&gt;</v>
      </c>
      <c r="U11" t="str">
        <f t="shared" si="0"/>
        <v>&lt;tr&gt;&lt;td&gt;GDP&lt;/td&gt;&lt;td&gt;34,212&lt;/td&gt;&lt;/tr&gt;</v>
      </c>
      <c r="V11" t="str">
        <f t="shared" si="0"/>
        <v>&lt;tr&gt;&lt;td&gt;Currency&lt;/td&gt;&lt;td&gt;Euro&lt;/td&gt;&lt;/tr&gt;</v>
      </c>
    </row>
    <row r="12" spans="1:22" x14ac:dyDescent="0.2">
      <c r="A12" s="8" t="str">
        <f t="shared" si="1"/>
        <v>Athens, Greece</v>
      </c>
      <c r="B12" s="8">
        <f>_xll.GeodesiX.UDF.Geocode(B$1,$A12)</f>
        <v>37.983809600000001</v>
      </c>
      <c r="C12" s="8">
        <f>_xll.GeodesiX.UDF.Geocode(C$1,$A12)</f>
        <v>23.727538800000001</v>
      </c>
      <c r="D12" s="8" t="s">
        <v>149</v>
      </c>
      <c r="E12" s="8" t="str">
        <f t="shared" si="2"/>
        <v>&lt;table&gt;&lt;tr&gt;&lt;td&gt;State&lt;/td&gt;&lt;td&gt;Greece&lt;/td&gt;&lt;/tr&gt;&lt;tr&gt;&lt;td&gt;Capital&lt;/td&gt;&lt;td&gt;Athens&lt;/td&gt;&lt;/tr&gt;&lt;tr&gt;&lt;td&gt;Constitutional name&lt;/td&gt;&lt;td&gt;Ελληνική Δημοκρατία&lt;/td&gt;&lt;/tr&gt;&lt;tr&gt;&lt;td&gt;Joined&lt;/td&gt;&lt;td&gt;1981&lt;/td&gt;&lt;/tr&gt;&lt;tr&gt;&lt;td&gt;Population&lt;/td&gt;&lt;td&gt;11,125,179&lt;/td&gt;&lt;/tr&gt;&lt;tr&gt;&lt;td&gt;km²&lt;/td&gt;&lt;td&gt;131,990&lt;/td&gt;&lt;/tr&gt;&lt;tr&gt;&lt;td&gt;GDP&lt;/td&gt;&lt;td&gt;29,881&lt;/td&gt;&lt;/tr&gt;&lt;tr&gt;&lt;td&gt;Currency&lt;/td&gt;&lt;td&gt;Euro&lt;/td&gt;&lt;/tr&gt;&lt;/table&gt;</v>
      </c>
      <c r="F12" t="str">
        <f>_xll.GeodesiX.UDF.Geocode(F$1,$A12)</f>
        <v>OK</v>
      </c>
      <c r="G12" t="s">
        <v>54</v>
      </c>
      <c r="H12" t="s">
        <v>53</v>
      </c>
      <c r="I12" t="s">
        <v>150</v>
      </c>
      <c r="J12" s="7">
        <v>1981</v>
      </c>
      <c r="K12" s="7" t="s">
        <v>151</v>
      </c>
      <c r="L12" s="7" t="s">
        <v>152</v>
      </c>
      <c r="M12" s="7" t="s">
        <v>153</v>
      </c>
      <c r="N12" t="s">
        <v>99</v>
      </c>
      <c r="O12" t="str">
        <f t="shared" si="0"/>
        <v>&lt;tr&gt;&lt;td&gt;State&lt;/td&gt;&lt;td&gt;Greece&lt;/td&gt;&lt;/tr&gt;</v>
      </c>
      <c r="P12" t="str">
        <f t="shared" si="0"/>
        <v>&lt;tr&gt;&lt;td&gt;Capital&lt;/td&gt;&lt;td&gt;Athens&lt;/td&gt;&lt;/tr&gt;</v>
      </c>
      <c r="Q12" t="str">
        <f t="shared" si="0"/>
        <v>&lt;tr&gt;&lt;td&gt;Constitutional name&lt;/td&gt;&lt;td&gt;Ελληνική Δημοκρατία&lt;/td&gt;&lt;/tr&gt;</v>
      </c>
      <c r="R12" t="str">
        <f t="shared" si="0"/>
        <v>&lt;tr&gt;&lt;td&gt;Joined&lt;/td&gt;&lt;td&gt;1981&lt;/td&gt;&lt;/tr&gt;</v>
      </c>
      <c r="S12" t="str">
        <f t="shared" si="0"/>
        <v>&lt;tr&gt;&lt;td&gt;Population&lt;/td&gt;&lt;td&gt;11,125,179&lt;/td&gt;&lt;/tr&gt;</v>
      </c>
      <c r="T12" t="str">
        <f t="shared" si="0"/>
        <v>&lt;tr&gt;&lt;td&gt;km²&lt;/td&gt;&lt;td&gt;131,990&lt;/td&gt;&lt;/tr&gt;</v>
      </c>
      <c r="U12" t="str">
        <f t="shared" si="0"/>
        <v>&lt;tr&gt;&lt;td&gt;GDP&lt;/td&gt;&lt;td&gt;29,881&lt;/td&gt;&lt;/tr&gt;</v>
      </c>
      <c r="V12" t="str">
        <f t="shared" si="0"/>
        <v>&lt;tr&gt;&lt;td&gt;Currency&lt;/td&gt;&lt;td&gt;Euro&lt;/td&gt;&lt;/tr&gt;</v>
      </c>
    </row>
    <row r="13" spans="1:22" x14ac:dyDescent="0.2">
      <c r="A13" s="8" t="str">
        <f t="shared" si="1"/>
        <v>Budapest, Hungary</v>
      </c>
      <c r="B13" s="8">
        <f>_xll.GeodesiX.UDF.Geocode(B$1,$A13)</f>
        <v>47.497911999999999</v>
      </c>
      <c r="C13" s="8">
        <f>_xll.GeodesiX.UDF.Geocode(C$1,$A13)</f>
        <v>19.040234999999999</v>
      </c>
      <c r="D13" s="8" t="s">
        <v>154</v>
      </c>
      <c r="E13" s="8" t="str">
        <f t="shared" si="2"/>
        <v>&lt;table&gt;&lt;tr&gt;&lt;td&gt;State&lt;/td&gt;&lt;td&gt;Hungary&lt;/td&gt;&lt;/tr&gt;&lt;tr&gt;&lt;td&gt;Capital&lt;/td&gt;&lt;td&gt;Budapest&lt;/td&gt;&lt;/tr&gt;&lt;tr&gt;&lt;td&gt;Constitutional name&lt;/td&gt;&lt;td&gt;Magyar Köztársaság&lt;/td&gt;&lt;/tr&gt;&lt;tr&gt;&lt;td&gt;Joined&lt;/td&gt;&lt;td&gt;2004&lt;/td&gt;&lt;/tr&gt;&lt;tr&gt;&lt;td&gt;Population&lt;/td&gt;&lt;td&gt;10,013,628&lt;/td&gt;&lt;/tr&gt;&lt;tr&gt;&lt;td&gt;km²&lt;/td&gt;&lt;td&gt;93,030&lt;/td&gt;&lt;/tr&gt;&lt;tr&gt;&lt;td&gt;GDP&lt;/td&gt;&lt;td&gt;18,566&lt;/td&gt;&lt;/tr&gt;&lt;tr&gt;&lt;td&gt;Currency&lt;/td&gt;&lt;td&gt;Hungarian forint&lt;/td&gt;&lt;/tr&gt;&lt;/table&gt;</v>
      </c>
      <c r="F13" t="str">
        <f>_xll.GeodesiX.UDF.Geocode(F$1,$A13)</f>
        <v>OK</v>
      </c>
      <c r="G13" t="s">
        <v>56</v>
      </c>
      <c r="H13" t="s">
        <v>55</v>
      </c>
      <c r="I13" t="s">
        <v>155</v>
      </c>
      <c r="J13" s="7">
        <v>2004</v>
      </c>
      <c r="K13" s="7" t="s">
        <v>156</v>
      </c>
      <c r="L13" s="7" t="s">
        <v>157</v>
      </c>
      <c r="M13" s="7" t="s">
        <v>158</v>
      </c>
      <c r="N13" t="s">
        <v>159</v>
      </c>
      <c r="O13" t="str">
        <f t="shared" si="0"/>
        <v>&lt;tr&gt;&lt;td&gt;State&lt;/td&gt;&lt;td&gt;Hungary&lt;/td&gt;&lt;/tr&gt;</v>
      </c>
      <c r="P13" t="str">
        <f t="shared" si="0"/>
        <v>&lt;tr&gt;&lt;td&gt;Capital&lt;/td&gt;&lt;td&gt;Budapest&lt;/td&gt;&lt;/tr&gt;</v>
      </c>
      <c r="Q13" t="str">
        <f t="shared" si="0"/>
        <v>&lt;tr&gt;&lt;td&gt;Constitutional name&lt;/td&gt;&lt;td&gt;Magyar Köztársaság&lt;/td&gt;&lt;/tr&gt;</v>
      </c>
      <c r="R13" t="str">
        <f t="shared" si="0"/>
        <v>&lt;tr&gt;&lt;td&gt;Joined&lt;/td&gt;&lt;td&gt;2004&lt;/td&gt;&lt;/tr&gt;</v>
      </c>
      <c r="S13" t="str">
        <f t="shared" si="0"/>
        <v>&lt;tr&gt;&lt;td&gt;Population&lt;/td&gt;&lt;td&gt;10,013,628&lt;/td&gt;&lt;/tr&gt;</v>
      </c>
      <c r="T13" t="str">
        <f t="shared" si="0"/>
        <v>&lt;tr&gt;&lt;td&gt;km²&lt;/td&gt;&lt;td&gt;93,030&lt;/td&gt;&lt;/tr&gt;</v>
      </c>
      <c r="U13" t="str">
        <f t="shared" si="0"/>
        <v>&lt;tr&gt;&lt;td&gt;GDP&lt;/td&gt;&lt;td&gt;18,566&lt;/td&gt;&lt;/tr&gt;</v>
      </c>
      <c r="V13" t="str">
        <f t="shared" si="0"/>
        <v>&lt;tr&gt;&lt;td&gt;Currency&lt;/td&gt;&lt;td&gt;Hungarian forint&lt;/td&gt;&lt;/tr&gt;</v>
      </c>
    </row>
    <row r="14" spans="1:22" x14ac:dyDescent="0.2">
      <c r="A14" s="8" t="str">
        <f t="shared" si="1"/>
        <v>Dublin, Ireland</v>
      </c>
      <c r="B14" s="8">
        <f>_xll.GeodesiX.UDF.Geocode(B$1,$A14)</f>
        <v>53.3498053</v>
      </c>
      <c r="C14" s="8">
        <f>_xll.GeodesiX.UDF.Geocode(C$1,$A14)</f>
        <v>-6.2603096999999996</v>
      </c>
      <c r="D14" s="8" t="s">
        <v>160</v>
      </c>
      <c r="E14" s="8" t="str">
        <f t="shared" si="2"/>
        <v>&lt;table&gt;&lt;tr&gt;&lt;td&gt;State&lt;/td&gt;&lt;td&gt;Ireland&lt;/td&gt;&lt;/tr&gt;&lt;tr&gt;&lt;td&gt;Capital&lt;/td&gt;&lt;td&gt;Dublin&lt;/td&gt;&lt;/tr&gt;&lt;tr&gt;&lt;td&gt;Constitutional name&lt;/td&gt;&lt;td&gt;Éire&lt;/td&gt;&lt;/tr&gt;&lt;tr&gt;&lt;td&gt;Joined&lt;/td&gt;&lt;td&gt;1973&lt;/td&gt;&lt;/tr&gt;&lt;tr&gt;&lt;td&gt;Population&lt;/td&gt;&lt;td&gt;4,467,854&lt;/td&gt;&lt;/tr&gt;&lt;tr&gt;&lt;td&gt;km²&lt;/td&gt;&lt;td&gt;70,273&lt;/td&gt;&lt;/tr&gt;&lt;tr&gt;&lt;td&gt;GDP&lt;/td&gt;&lt;td&gt;39,468&lt;/td&gt;&lt;/tr&gt;&lt;tr&gt;&lt;td&gt;Currency&lt;/td&gt;&lt;td&gt;Euro&lt;/td&gt;&lt;/tr&gt;&lt;/table&gt;</v>
      </c>
      <c r="F14" t="str">
        <f>_xll.GeodesiX.UDF.Geocode(F$1,$A14)</f>
        <v>OK</v>
      </c>
      <c r="G14" t="s">
        <v>57</v>
      </c>
      <c r="H14" t="s">
        <v>58</v>
      </c>
      <c r="I14" t="s">
        <v>161</v>
      </c>
      <c r="J14" s="7">
        <v>1973</v>
      </c>
      <c r="K14" s="7" t="s">
        <v>162</v>
      </c>
      <c r="L14" s="7" t="s">
        <v>163</v>
      </c>
      <c r="M14" s="7" t="s">
        <v>164</v>
      </c>
      <c r="N14" t="s">
        <v>99</v>
      </c>
      <c r="O14" t="str">
        <f t="shared" si="0"/>
        <v>&lt;tr&gt;&lt;td&gt;State&lt;/td&gt;&lt;td&gt;Ireland&lt;/td&gt;&lt;/tr&gt;</v>
      </c>
      <c r="P14" t="str">
        <f t="shared" si="0"/>
        <v>&lt;tr&gt;&lt;td&gt;Capital&lt;/td&gt;&lt;td&gt;Dublin&lt;/td&gt;&lt;/tr&gt;</v>
      </c>
      <c r="Q14" t="str">
        <f t="shared" si="0"/>
        <v>&lt;tr&gt;&lt;td&gt;Constitutional name&lt;/td&gt;&lt;td&gt;Éire&lt;/td&gt;&lt;/tr&gt;</v>
      </c>
      <c r="R14" t="str">
        <f t="shared" si="0"/>
        <v>&lt;tr&gt;&lt;td&gt;Joined&lt;/td&gt;&lt;td&gt;1973&lt;/td&gt;&lt;/tr&gt;</v>
      </c>
      <c r="S14" t="str">
        <f t="shared" si="0"/>
        <v>&lt;tr&gt;&lt;td&gt;Population&lt;/td&gt;&lt;td&gt;4,467,854&lt;/td&gt;&lt;/tr&gt;</v>
      </c>
      <c r="T14" t="str">
        <f t="shared" si="0"/>
        <v>&lt;tr&gt;&lt;td&gt;km²&lt;/td&gt;&lt;td&gt;70,273&lt;/td&gt;&lt;/tr&gt;</v>
      </c>
      <c r="U14" t="str">
        <f t="shared" si="0"/>
        <v>&lt;tr&gt;&lt;td&gt;GDP&lt;/td&gt;&lt;td&gt;39,468&lt;/td&gt;&lt;/tr&gt;</v>
      </c>
      <c r="V14" t="str">
        <f t="shared" si="0"/>
        <v>&lt;tr&gt;&lt;td&gt;Currency&lt;/td&gt;&lt;td&gt;Euro&lt;/td&gt;&lt;/tr&gt;</v>
      </c>
    </row>
    <row r="15" spans="1:22" x14ac:dyDescent="0.2">
      <c r="A15" s="8" t="str">
        <f t="shared" si="1"/>
        <v>Rome, Italy</v>
      </c>
      <c r="B15" s="8">
        <f>_xll.GeodesiX.UDF.Geocode(B$1,$A15)</f>
        <v>41.896706799999997</v>
      </c>
      <c r="C15" s="8">
        <f>_xll.GeodesiX.UDF.Geocode(C$1,$A15)</f>
        <v>12.4822025</v>
      </c>
      <c r="D15" s="8" t="s">
        <v>165</v>
      </c>
      <c r="E15" s="8" t="str">
        <f t="shared" si="2"/>
        <v>&lt;table&gt;&lt;tr&gt;&lt;td&gt;State&lt;/td&gt;&lt;td&gt;Italy&lt;/td&gt;&lt;/tr&gt;&lt;tr&gt;&lt;td&gt;Capital&lt;/td&gt;&lt;td&gt;Rome&lt;/td&gt;&lt;/tr&gt;&lt;tr&gt;&lt;td&gt;Constitutional name&lt;/td&gt;&lt;td&gt;Repubblica italiana&lt;/td&gt;&lt;/tr&gt;&lt;tr&gt;&lt;td&gt;Joined&lt;/td&gt;&lt;td&gt;Founder&lt;/td&gt;&lt;/tr&gt;&lt;tr&gt;&lt;td&gt;Population&lt;/td&gt;&lt;td&gt;60,397,353&lt;/td&gt;&lt;/tr&gt;&lt;tr&gt;&lt;td&gt;km²&lt;/td&gt;&lt;td&gt;301,318&lt;/td&gt;&lt;/tr&gt;&lt;tr&gt;&lt;td&gt;GDP&lt;/td&gt;&lt;td&gt;29,109&lt;/td&gt;&lt;/tr&gt;&lt;tr&gt;&lt;td&gt;Currency&lt;/td&gt;&lt;td&gt;Euro&lt;/td&gt;&lt;/tr&gt;&lt;/table&gt;</v>
      </c>
      <c r="F15" t="str">
        <f>_xll.GeodesiX.UDF.Geocode(F$1,$A15)</f>
        <v>OK</v>
      </c>
      <c r="G15" t="s">
        <v>60</v>
      </c>
      <c r="H15" t="s">
        <v>59</v>
      </c>
      <c r="I15" t="s">
        <v>166</v>
      </c>
      <c r="J15" s="7" t="s">
        <v>102</v>
      </c>
      <c r="K15" s="7" t="s">
        <v>167</v>
      </c>
      <c r="L15" s="7" t="s">
        <v>168</v>
      </c>
      <c r="M15" s="7" t="s">
        <v>169</v>
      </c>
      <c r="N15" t="s">
        <v>99</v>
      </c>
      <c r="O15" t="str">
        <f t="shared" si="0"/>
        <v>&lt;tr&gt;&lt;td&gt;State&lt;/td&gt;&lt;td&gt;Italy&lt;/td&gt;&lt;/tr&gt;</v>
      </c>
      <c r="P15" t="str">
        <f t="shared" si="0"/>
        <v>&lt;tr&gt;&lt;td&gt;Capital&lt;/td&gt;&lt;td&gt;Rome&lt;/td&gt;&lt;/tr&gt;</v>
      </c>
      <c r="Q15" t="str">
        <f t="shared" si="0"/>
        <v>&lt;tr&gt;&lt;td&gt;Constitutional name&lt;/td&gt;&lt;td&gt;Repubblica italiana&lt;/td&gt;&lt;/tr&gt;</v>
      </c>
      <c r="R15" t="str">
        <f t="shared" si="0"/>
        <v>&lt;tr&gt;&lt;td&gt;Joined&lt;/td&gt;&lt;td&gt;Founder&lt;/td&gt;&lt;/tr&gt;</v>
      </c>
      <c r="S15" t="str">
        <f t="shared" si="0"/>
        <v>&lt;tr&gt;&lt;td&gt;Population&lt;/td&gt;&lt;td&gt;60,397,353&lt;/td&gt;&lt;/tr&gt;</v>
      </c>
      <c r="T15" t="str">
        <f t="shared" si="0"/>
        <v>&lt;tr&gt;&lt;td&gt;km²&lt;/td&gt;&lt;td&gt;301,318&lt;/td&gt;&lt;/tr&gt;</v>
      </c>
      <c r="U15" t="str">
        <f t="shared" si="0"/>
        <v>&lt;tr&gt;&lt;td&gt;GDP&lt;/td&gt;&lt;td&gt;29,109&lt;/td&gt;&lt;/tr&gt;</v>
      </c>
      <c r="V15" t="str">
        <f t="shared" si="0"/>
        <v>&lt;tr&gt;&lt;td&gt;Currency&lt;/td&gt;&lt;td&gt;Euro&lt;/td&gt;&lt;/tr&gt;</v>
      </c>
    </row>
    <row r="16" spans="1:22" x14ac:dyDescent="0.2">
      <c r="A16" s="8" t="str">
        <f t="shared" si="1"/>
        <v>Riga, Latvia</v>
      </c>
      <c r="B16" s="8">
        <f>_xll.GeodesiX.UDF.Geocode(B$1,$A16)</f>
        <v>56.967694100000003</v>
      </c>
      <c r="C16" s="8">
        <f>_xll.GeodesiX.UDF.Geocode(C$1,$A16)</f>
        <v>24.105622100000001</v>
      </c>
      <c r="D16" s="8" t="s">
        <v>170</v>
      </c>
      <c r="E16" s="8" t="str">
        <f t="shared" si="2"/>
        <v>&lt;table&gt;&lt;tr&gt;&lt;td&gt;State&lt;/td&gt;&lt;td&gt;Latvia&lt;/td&gt;&lt;/tr&gt;&lt;tr&gt;&lt;td&gt;Capital&lt;/td&gt;&lt;td&gt;Riga&lt;/td&gt;&lt;/tr&gt;&lt;tr&gt;&lt;td&gt;Constitutional name&lt;/td&gt;&lt;td&gt;Latvijas Republika&lt;/td&gt;&lt;/tr&gt;&lt;tr&gt;&lt;td&gt;Joined&lt;/td&gt;&lt;td&gt;2004&lt;/td&gt;&lt;/tr&gt;&lt;tr&gt;&lt;td&gt;Population&lt;/td&gt;&lt;td&gt;2,248,961&lt;/td&gt;&lt;/tr&gt;&lt;tr&gt;&lt;td&gt;km²&lt;/td&gt;&lt;td&gt;64,589&lt;/td&gt;&lt;/tr&gt;&lt;tr&gt;&lt;td&gt;GDP&lt;/td&gt;&lt;td&gt;14,254&lt;/td&gt;&lt;/tr&gt;&lt;tr&gt;&lt;td&gt;Currency&lt;/td&gt;&lt;td&gt;Latvian lats&lt;/td&gt;&lt;/tr&gt;&lt;/table&gt;</v>
      </c>
      <c r="F16" t="str">
        <f>_xll.GeodesiX.UDF.Geocode(F$1,$A16)</f>
        <v>OK</v>
      </c>
      <c r="G16" t="s">
        <v>62</v>
      </c>
      <c r="H16" t="s">
        <v>61</v>
      </c>
      <c r="I16" t="s">
        <v>171</v>
      </c>
      <c r="J16" s="7">
        <v>2004</v>
      </c>
      <c r="K16" s="7" t="s">
        <v>172</v>
      </c>
      <c r="L16" s="7" t="s">
        <v>173</v>
      </c>
      <c r="M16" s="7" t="s">
        <v>174</v>
      </c>
      <c r="N16" t="s">
        <v>175</v>
      </c>
      <c r="O16" t="str">
        <f t="shared" si="0"/>
        <v>&lt;tr&gt;&lt;td&gt;State&lt;/td&gt;&lt;td&gt;Latvia&lt;/td&gt;&lt;/tr&gt;</v>
      </c>
      <c r="P16" t="str">
        <f t="shared" si="0"/>
        <v>&lt;tr&gt;&lt;td&gt;Capital&lt;/td&gt;&lt;td&gt;Riga&lt;/td&gt;&lt;/tr&gt;</v>
      </c>
      <c r="Q16" t="str">
        <f t="shared" si="0"/>
        <v>&lt;tr&gt;&lt;td&gt;Constitutional name&lt;/td&gt;&lt;td&gt;Latvijas Republika&lt;/td&gt;&lt;/tr&gt;</v>
      </c>
      <c r="R16" t="str">
        <f t="shared" si="0"/>
        <v>&lt;tr&gt;&lt;td&gt;Joined&lt;/td&gt;&lt;td&gt;2004&lt;/td&gt;&lt;/tr&gt;</v>
      </c>
      <c r="S16" t="str">
        <f t="shared" si="0"/>
        <v>&lt;tr&gt;&lt;td&gt;Population&lt;/td&gt;&lt;td&gt;2,248,961&lt;/td&gt;&lt;/tr&gt;</v>
      </c>
      <c r="T16" t="str">
        <f t="shared" si="0"/>
        <v>&lt;tr&gt;&lt;td&gt;km²&lt;/td&gt;&lt;td&gt;64,589&lt;/td&gt;&lt;/tr&gt;</v>
      </c>
      <c r="U16" t="str">
        <f t="shared" si="0"/>
        <v>&lt;tr&gt;&lt;td&gt;GDP&lt;/td&gt;&lt;td&gt;14,254&lt;/td&gt;&lt;/tr&gt;</v>
      </c>
      <c r="V16" t="str">
        <f t="shared" si="0"/>
        <v>&lt;tr&gt;&lt;td&gt;Currency&lt;/td&gt;&lt;td&gt;Latvian lats&lt;/td&gt;&lt;/tr&gt;</v>
      </c>
    </row>
    <row r="17" spans="1:22" x14ac:dyDescent="0.2">
      <c r="A17" s="8" t="str">
        <f t="shared" si="1"/>
        <v>Vilnius, Lithuania</v>
      </c>
      <c r="B17" s="8">
        <f>_xll.GeodesiX.UDF.Geocode(B$1,$A17)</f>
        <v>54.687155500000003</v>
      </c>
      <c r="C17" s="8">
        <f>_xll.GeodesiX.UDF.Geocode(C$1,$A17)</f>
        <v>25.279651399999999</v>
      </c>
      <c r="D17" s="8" t="s">
        <v>176</v>
      </c>
      <c r="E17" s="8" t="str">
        <f t="shared" si="2"/>
        <v>&lt;table&gt;&lt;tr&gt;&lt;td&gt;State&lt;/td&gt;&lt;td&gt;Lithuania&lt;/td&gt;&lt;/tr&gt;&lt;tr&gt;&lt;td&gt;Capital&lt;/td&gt;&lt;td&gt;Vilnius&lt;/td&gt;&lt;/tr&gt;&lt;tr&gt;&lt;td&gt;Constitutional name&lt;/td&gt;&lt;td&gt;Lietuvos Respublika&lt;/td&gt;&lt;/tr&gt;&lt;tr&gt;&lt;td&gt;Joined&lt;/td&gt;&lt;td&gt;2004&lt;/td&gt;&lt;/tr&gt;&lt;tr&gt;&lt;td&gt;Population&lt;/td&gt;&lt;td&gt;3,329,227&lt;/td&gt;&lt;/tr&gt;&lt;tr&gt;&lt;td&gt;km²&lt;/td&gt;&lt;td&gt;65,303&lt;/td&gt;&lt;/tr&gt;&lt;tr&gt;&lt;td&gt;GDP&lt;/td&gt;&lt;td&gt;16,542&lt;/td&gt;&lt;/tr&gt;&lt;tr&gt;&lt;td&gt;Currency&lt;/td&gt;&lt;td&gt;Lithuanian litas&lt;/td&gt;&lt;/tr&gt;&lt;/table&gt;</v>
      </c>
      <c r="F17" t="str">
        <f>_xll.GeodesiX.UDF.Geocode(F$1,$A17)</f>
        <v>OK</v>
      </c>
      <c r="G17" t="s">
        <v>63</v>
      </c>
      <c r="H17" t="s">
        <v>64</v>
      </c>
      <c r="I17" t="s">
        <v>177</v>
      </c>
      <c r="J17" s="7">
        <v>2004</v>
      </c>
      <c r="K17" s="7" t="s">
        <v>178</v>
      </c>
      <c r="L17" s="7" t="s">
        <v>179</v>
      </c>
      <c r="M17" s="7" t="s">
        <v>180</v>
      </c>
      <c r="N17" t="s">
        <v>181</v>
      </c>
      <c r="O17" t="str">
        <f t="shared" si="0"/>
        <v>&lt;tr&gt;&lt;td&gt;State&lt;/td&gt;&lt;td&gt;Lithuania&lt;/td&gt;&lt;/tr&gt;</v>
      </c>
      <c r="P17" t="str">
        <f t="shared" si="0"/>
        <v>&lt;tr&gt;&lt;td&gt;Capital&lt;/td&gt;&lt;td&gt;Vilnius&lt;/td&gt;&lt;/tr&gt;</v>
      </c>
      <c r="Q17" t="str">
        <f t="shared" si="0"/>
        <v>&lt;tr&gt;&lt;td&gt;Constitutional name&lt;/td&gt;&lt;td&gt;Lietuvos Respublika&lt;/td&gt;&lt;/tr&gt;</v>
      </c>
      <c r="R17" t="str">
        <f t="shared" si="0"/>
        <v>&lt;tr&gt;&lt;td&gt;Joined&lt;/td&gt;&lt;td&gt;2004&lt;/td&gt;&lt;/tr&gt;</v>
      </c>
      <c r="S17" t="str">
        <f t="shared" si="0"/>
        <v>&lt;tr&gt;&lt;td&gt;Population&lt;/td&gt;&lt;td&gt;3,329,227&lt;/td&gt;&lt;/tr&gt;</v>
      </c>
      <c r="T17" t="str">
        <f t="shared" si="0"/>
        <v>&lt;tr&gt;&lt;td&gt;km²&lt;/td&gt;&lt;td&gt;65,303&lt;/td&gt;&lt;/tr&gt;</v>
      </c>
      <c r="U17" t="str">
        <f t="shared" si="0"/>
        <v>&lt;tr&gt;&lt;td&gt;GDP&lt;/td&gt;&lt;td&gt;16,542&lt;/td&gt;&lt;/tr&gt;</v>
      </c>
      <c r="V17" t="str">
        <f t="shared" si="0"/>
        <v>&lt;tr&gt;&lt;td&gt;Currency&lt;/td&gt;&lt;td&gt;Lithuanian litas&lt;/td&gt;&lt;/tr&gt;</v>
      </c>
    </row>
    <row r="18" spans="1:22" x14ac:dyDescent="0.2">
      <c r="A18" s="8" t="str">
        <f t="shared" si="1"/>
        <v>Luxembourg, Luxembourg</v>
      </c>
      <c r="B18" s="8">
        <f>_xll.GeodesiX.UDF.Geocode(B$1,$A18)</f>
        <v>49.815272999999998</v>
      </c>
      <c r="C18" s="8">
        <f>_xll.GeodesiX.UDF.Geocode(C$1,$A18)</f>
        <v>6.1295830000000002</v>
      </c>
      <c r="D18" s="8" t="s">
        <v>182</v>
      </c>
      <c r="E18" s="8" t="str">
        <f t="shared" si="2"/>
        <v>&lt;table&gt;&lt;tr&gt;&lt;td&gt;State&lt;/td&gt;&lt;td&gt;Luxembourg&lt;/td&gt;&lt;/tr&gt;&lt;tr&gt;&lt;td&gt;Capital&lt;/td&gt;&lt;td&gt;Luxembourg&lt;/td&gt;&lt;/tr&gt;&lt;tr&gt;&lt;td&gt;Constitutional name&lt;/td&gt;&lt;td&gt;Grand-Duché de Luxembourg&lt;/td&gt;&lt;/tr&gt;&lt;tr&gt;&lt;td&gt;Joined&lt;/td&gt;&lt;td&gt;Founder&lt;/td&gt;&lt;/tr&gt;&lt;tr&gt;&lt;td&gt;Population&lt;/td&gt;&lt;td&gt;502,207&lt;/td&gt;&lt;/tr&gt;&lt;tr&gt;&lt;td&gt;km²&lt;/td&gt;&lt;td&gt;2,586&lt;/td&gt;&lt;/tr&gt;&lt;tr&gt;&lt;td&gt;GDP&lt;/td&gt;&lt;td&gt;78,395&lt;/td&gt;&lt;/tr&gt;&lt;tr&gt;&lt;td&gt;Currency&lt;/td&gt;&lt;td&gt;Euro&lt;/td&gt;&lt;/tr&gt;&lt;/table&gt;</v>
      </c>
      <c r="F18" t="str">
        <f>_xll.GeodesiX.UDF.Geocode(F$1,$A18)</f>
        <v>OK</v>
      </c>
      <c r="G18" t="s">
        <v>65</v>
      </c>
      <c r="H18" t="s">
        <v>65</v>
      </c>
      <c r="I18" t="s">
        <v>183</v>
      </c>
      <c r="J18" s="7" t="s">
        <v>102</v>
      </c>
      <c r="K18" s="7" t="s">
        <v>184</v>
      </c>
      <c r="L18" s="7" t="s">
        <v>185</v>
      </c>
      <c r="M18" s="7" t="s">
        <v>186</v>
      </c>
      <c r="N18" t="s">
        <v>99</v>
      </c>
      <c r="O18" t="str">
        <f t="shared" si="0"/>
        <v>&lt;tr&gt;&lt;td&gt;State&lt;/td&gt;&lt;td&gt;Luxembourg&lt;/td&gt;&lt;/tr&gt;</v>
      </c>
      <c r="P18" t="str">
        <f t="shared" si="0"/>
        <v>&lt;tr&gt;&lt;td&gt;Capital&lt;/td&gt;&lt;td&gt;Luxembourg&lt;/td&gt;&lt;/tr&gt;</v>
      </c>
      <c r="Q18" t="str">
        <f t="shared" si="0"/>
        <v>&lt;tr&gt;&lt;td&gt;Constitutional name&lt;/td&gt;&lt;td&gt;Grand-Duché de Luxembourg&lt;/td&gt;&lt;/tr&gt;</v>
      </c>
      <c r="R18" t="str">
        <f t="shared" si="0"/>
        <v>&lt;tr&gt;&lt;td&gt;Joined&lt;/td&gt;&lt;td&gt;Founder&lt;/td&gt;&lt;/tr&gt;</v>
      </c>
      <c r="S18" t="str">
        <f t="shared" si="0"/>
        <v>&lt;tr&gt;&lt;td&gt;Population&lt;/td&gt;&lt;td&gt;502,207&lt;/td&gt;&lt;/tr&gt;</v>
      </c>
      <c r="T18" t="str">
        <f t="shared" si="0"/>
        <v>&lt;tr&gt;&lt;td&gt;km²&lt;/td&gt;&lt;td&gt;2,586&lt;/td&gt;&lt;/tr&gt;</v>
      </c>
      <c r="U18" t="str">
        <f t="shared" si="0"/>
        <v>&lt;tr&gt;&lt;td&gt;GDP&lt;/td&gt;&lt;td&gt;78,395&lt;/td&gt;&lt;/tr&gt;</v>
      </c>
      <c r="V18" t="str">
        <f t="shared" si="0"/>
        <v>&lt;tr&gt;&lt;td&gt;Currency&lt;/td&gt;&lt;td&gt;Euro&lt;/td&gt;&lt;/tr&gt;</v>
      </c>
    </row>
    <row r="19" spans="1:22" x14ac:dyDescent="0.2">
      <c r="A19" s="8" t="str">
        <f t="shared" si="1"/>
        <v>Valletta, Malta</v>
      </c>
      <c r="B19" s="8">
        <f>_xll.GeodesiX.UDF.Geocode(B$1,$A19)</f>
        <v>35.899237499999998</v>
      </c>
      <c r="C19" s="8">
        <f>_xll.GeodesiX.UDF.Geocode(C$1,$A19)</f>
        <v>14.5140996</v>
      </c>
      <c r="D19" s="8" t="s">
        <v>187</v>
      </c>
      <c r="E19" s="8" t="str">
        <f t="shared" si="2"/>
        <v>&lt;table&gt;&lt;tr&gt;&lt;td&gt;State&lt;/td&gt;&lt;td&gt;Malta&lt;/td&gt;&lt;/tr&gt;&lt;tr&gt;&lt;td&gt;Capital&lt;/td&gt;&lt;td&gt;Valletta&lt;/td&gt;&lt;/tr&gt;&lt;tr&gt;&lt;td&gt;Constitutional name&lt;/td&gt;&lt;td&gt;Repubblika ta' Malta&lt;/td&gt;&lt;/tr&gt;&lt;tr&gt;&lt;td&gt;Joined&lt;/td&gt;&lt;td&gt;2004&lt;/td&gt;&lt;/tr&gt;&lt;tr&gt;&lt;td&gt;Population&lt;/td&gt;&lt;td&gt;416,333&lt;/td&gt;&lt;/tr&gt;&lt;tr&gt;&lt;td&gt;km²&lt;/td&gt;&lt;td&gt;316&lt;/td&gt;&lt;/tr&gt;&lt;tr&gt;&lt;td&gt;GDP&lt;/td&gt;&lt;td&gt;23,583&lt;/td&gt;&lt;/tr&gt;&lt;tr&gt;&lt;td&gt;Currency&lt;/td&gt;&lt;td&gt;Euro&lt;/td&gt;&lt;/tr&gt;&lt;/table&gt;</v>
      </c>
      <c r="F19" t="str">
        <f>_xll.GeodesiX.UDF.Geocode(F$1,$A19)</f>
        <v>OK</v>
      </c>
      <c r="G19" t="s">
        <v>66</v>
      </c>
      <c r="H19" t="s">
        <v>67</v>
      </c>
      <c r="I19" t="s">
        <v>188</v>
      </c>
      <c r="J19" s="7">
        <v>2004</v>
      </c>
      <c r="K19" s="7" t="s">
        <v>189</v>
      </c>
      <c r="L19" s="7">
        <v>316</v>
      </c>
      <c r="M19" s="7" t="s">
        <v>190</v>
      </c>
      <c r="N19" t="s">
        <v>99</v>
      </c>
      <c r="O19" t="str">
        <f t="shared" si="0"/>
        <v>&lt;tr&gt;&lt;td&gt;State&lt;/td&gt;&lt;td&gt;Malta&lt;/td&gt;&lt;/tr&gt;</v>
      </c>
      <c r="P19" t="str">
        <f t="shared" si="0"/>
        <v>&lt;tr&gt;&lt;td&gt;Capital&lt;/td&gt;&lt;td&gt;Valletta&lt;/td&gt;&lt;/tr&gt;</v>
      </c>
      <c r="Q19" t="str">
        <f t="shared" si="0"/>
        <v>&lt;tr&gt;&lt;td&gt;Constitutional name&lt;/td&gt;&lt;td&gt;Repubblika ta' Malta&lt;/td&gt;&lt;/tr&gt;</v>
      </c>
      <c r="R19" t="str">
        <f t="shared" si="0"/>
        <v>&lt;tr&gt;&lt;td&gt;Joined&lt;/td&gt;&lt;td&gt;2004&lt;/td&gt;&lt;/tr&gt;</v>
      </c>
      <c r="S19" t="str">
        <f t="shared" si="0"/>
        <v>&lt;tr&gt;&lt;td&gt;Population&lt;/td&gt;&lt;td&gt;416,333&lt;/td&gt;&lt;/tr&gt;</v>
      </c>
      <c r="T19" t="str">
        <f t="shared" si="0"/>
        <v>&lt;tr&gt;&lt;td&gt;km²&lt;/td&gt;&lt;td&gt;316&lt;/td&gt;&lt;/tr&gt;</v>
      </c>
      <c r="U19" t="str">
        <f t="shared" si="0"/>
        <v>&lt;tr&gt;&lt;td&gt;GDP&lt;/td&gt;&lt;td&gt;23,583&lt;/td&gt;&lt;/tr&gt;</v>
      </c>
      <c r="V19" t="str">
        <f t="shared" si="0"/>
        <v>&lt;tr&gt;&lt;td&gt;Currency&lt;/td&gt;&lt;td&gt;Euro&lt;/td&gt;&lt;/tr&gt;</v>
      </c>
    </row>
    <row r="20" spans="1:22" x14ac:dyDescent="0.2">
      <c r="A20" s="8" t="str">
        <f t="shared" si="1"/>
        <v>Amsterdam, Netherlands</v>
      </c>
      <c r="B20" s="8">
        <f>_xll.GeodesiX.UDF.Geocode(B$1,$A20)</f>
        <v>52.367573399999998</v>
      </c>
      <c r="C20" s="8">
        <f>_xll.GeodesiX.UDF.Geocode(C$1,$A20)</f>
        <v>4.9041389000000004</v>
      </c>
      <c r="D20" s="8" t="s">
        <v>191</v>
      </c>
      <c r="E20" s="8" t="str">
        <f t="shared" si="2"/>
        <v>&lt;table&gt;&lt;tr&gt;&lt;td&gt;State&lt;/td&gt;&lt;td&gt;Netherlands&lt;/td&gt;&lt;/tr&gt;&lt;tr&gt;&lt;td&gt;Capital&lt;/td&gt;&lt;td&gt;Amsterdam&lt;/td&gt;&lt;/tr&gt;&lt;tr&gt;&lt;td&gt;Constitutional name&lt;/td&gt;&lt;td&gt;Koninkrijk der Nederlanden&lt;/td&gt;&lt;/tr&gt;&lt;tr&gt;&lt;td&gt;Joined&lt;/td&gt;&lt;td&gt;Founder&lt;/td&gt;&lt;/tr&gt;&lt;tr&gt;&lt;td&gt;Population&lt;/td&gt;&lt;td&gt;16,576,800&lt;/td&gt;&lt;/tr&gt;&lt;tr&gt;&lt;td&gt;km²&lt;/td&gt;&lt;td&gt;41,526&lt;/td&gt;&lt;/tr&gt;&lt;tr&gt;&lt;td&gt;GDP&lt;/td&gt;&lt;td&gt;39,937&lt;/td&gt;&lt;/tr&gt;&lt;tr&gt;&lt;td&gt;Currency&lt;/td&gt;&lt;td&gt;Euro&lt;/td&gt;&lt;/tr&gt;&lt;/table&gt;</v>
      </c>
      <c r="F20" t="str">
        <f>_xll.GeodesiX.UDF.Geocode(F$1,$A20)</f>
        <v>OK</v>
      </c>
      <c r="G20" t="s">
        <v>192</v>
      </c>
      <c r="H20" t="s">
        <v>68</v>
      </c>
      <c r="I20" t="s">
        <v>193</v>
      </c>
      <c r="J20" s="7" t="s">
        <v>102</v>
      </c>
      <c r="K20" s="7" t="s">
        <v>194</v>
      </c>
      <c r="L20" s="7" t="s">
        <v>195</v>
      </c>
      <c r="M20" s="7" t="s">
        <v>196</v>
      </c>
      <c r="N20" t="s">
        <v>99</v>
      </c>
      <c r="O20" t="str">
        <f t="shared" si="0"/>
        <v>&lt;tr&gt;&lt;td&gt;State&lt;/td&gt;&lt;td&gt;Netherlands&lt;/td&gt;&lt;/tr&gt;</v>
      </c>
      <c r="P20" t="str">
        <f t="shared" si="0"/>
        <v>&lt;tr&gt;&lt;td&gt;Capital&lt;/td&gt;&lt;td&gt;Amsterdam&lt;/td&gt;&lt;/tr&gt;</v>
      </c>
      <c r="Q20" t="str">
        <f t="shared" si="0"/>
        <v>&lt;tr&gt;&lt;td&gt;Constitutional name&lt;/td&gt;&lt;td&gt;Koninkrijk der Nederlanden&lt;/td&gt;&lt;/tr&gt;</v>
      </c>
      <c r="R20" t="str">
        <f t="shared" si="0"/>
        <v>&lt;tr&gt;&lt;td&gt;Joined&lt;/td&gt;&lt;td&gt;Founder&lt;/td&gt;&lt;/tr&gt;</v>
      </c>
      <c r="S20" t="str">
        <f t="shared" si="0"/>
        <v>&lt;tr&gt;&lt;td&gt;Population&lt;/td&gt;&lt;td&gt;16,576,800&lt;/td&gt;&lt;/tr&gt;</v>
      </c>
      <c r="T20" t="str">
        <f t="shared" si="0"/>
        <v>&lt;tr&gt;&lt;td&gt;km²&lt;/td&gt;&lt;td&gt;41,526&lt;/td&gt;&lt;/tr&gt;</v>
      </c>
      <c r="U20" t="str">
        <f t="shared" si="0"/>
        <v>&lt;tr&gt;&lt;td&gt;GDP&lt;/td&gt;&lt;td&gt;39,937&lt;/td&gt;&lt;/tr&gt;</v>
      </c>
      <c r="V20" t="str">
        <f t="shared" si="0"/>
        <v>&lt;tr&gt;&lt;td&gt;Currency&lt;/td&gt;&lt;td&gt;Euro&lt;/td&gt;&lt;/tr&gt;</v>
      </c>
    </row>
    <row r="21" spans="1:22" x14ac:dyDescent="0.2">
      <c r="A21" s="8" t="str">
        <f t="shared" si="1"/>
        <v>Warsaw, Poland</v>
      </c>
      <c r="B21" s="8">
        <f>_xll.GeodesiX.UDF.Geocode(B$1,$A21)</f>
        <v>52.2296756</v>
      </c>
      <c r="C21" s="8">
        <f>_xll.GeodesiX.UDF.Geocode(C$1,$A21)</f>
        <v>21.012228700000001</v>
      </c>
      <c r="D21" s="8" t="s">
        <v>197</v>
      </c>
      <c r="E21" s="8" t="str">
        <f t="shared" si="2"/>
        <v>&lt;table&gt;&lt;tr&gt;&lt;td&gt;State&lt;/td&gt;&lt;td&gt;Poland&lt;/td&gt;&lt;/tr&gt;&lt;tr&gt;&lt;td&gt;Capital&lt;/td&gt;&lt;td&gt;Warsaw&lt;/td&gt;&lt;/tr&gt;&lt;tr&gt;&lt;td&gt;Constitutional name&lt;/td&gt;&lt;td&gt;Rzeczpospolita Polska&lt;/td&gt;&lt;/tr&gt;&lt;tr&gt;&lt;td&gt;Joined&lt;/td&gt;&lt;td&gt;2004&lt;/td&gt;&lt;/tr&gt;&lt;tr&gt;&lt;td&gt;Population&lt;/td&gt;&lt;td&gt;38,163,895&lt;/td&gt;&lt;/tr&gt;&lt;tr&gt;&lt;td&gt;km²&lt;/td&gt;&lt;td&gt;312,683&lt;/td&gt;&lt;/tr&gt;&lt;tr&gt;&lt;td&gt;GDP&lt;/td&gt;&lt;td&gt;18,072&lt;/td&gt;&lt;/tr&gt;&lt;tr&gt;&lt;td&gt;Currency&lt;/td&gt;&lt;td&gt;Polish złoty&lt;/td&gt;&lt;/tr&gt;&lt;/table&gt;</v>
      </c>
      <c r="F21" t="str">
        <f>_xll.GeodesiX.UDF.Geocode(F$1,$A21)</f>
        <v>OK</v>
      </c>
      <c r="G21" t="s">
        <v>70</v>
      </c>
      <c r="H21" t="s">
        <v>69</v>
      </c>
      <c r="I21" t="s">
        <v>198</v>
      </c>
      <c r="J21" s="7">
        <v>2004</v>
      </c>
      <c r="K21" s="7" t="s">
        <v>199</v>
      </c>
      <c r="L21" s="7" t="s">
        <v>200</v>
      </c>
      <c r="M21" s="7" t="s">
        <v>201</v>
      </c>
      <c r="N21" t="s">
        <v>202</v>
      </c>
      <c r="O21" t="str">
        <f t="shared" si="0"/>
        <v>&lt;tr&gt;&lt;td&gt;State&lt;/td&gt;&lt;td&gt;Poland&lt;/td&gt;&lt;/tr&gt;</v>
      </c>
      <c r="P21" t="str">
        <f t="shared" si="0"/>
        <v>&lt;tr&gt;&lt;td&gt;Capital&lt;/td&gt;&lt;td&gt;Warsaw&lt;/td&gt;&lt;/tr&gt;</v>
      </c>
      <c r="Q21" t="str">
        <f t="shared" si="0"/>
        <v>&lt;tr&gt;&lt;td&gt;Constitutional name&lt;/td&gt;&lt;td&gt;Rzeczpospolita Polska&lt;/td&gt;&lt;/tr&gt;</v>
      </c>
      <c r="R21" t="str">
        <f t="shared" si="0"/>
        <v>&lt;tr&gt;&lt;td&gt;Joined&lt;/td&gt;&lt;td&gt;2004&lt;/td&gt;&lt;/tr&gt;</v>
      </c>
      <c r="S21" t="str">
        <f t="shared" si="0"/>
        <v>&lt;tr&gt;&lt;td&gt;Population&lt;/td&gt;&lt;td&gt;38,163,895&lt;/td&gt;&lt;/tr&gt;</v>
      </c>
      <c r="T21" t="str">
        <f t="shared" si="0"/>
        <v>&lt;tr&gt;&lt;td&gt;km²&lt;/td&gt;&lt;td&gt;312,683&lt;/td&gt;&lt;/tr&gt;</v>
      </c>
      <c r="U21" t="str">
        <f t="shared" si="0"/>
        <v>&lt;tr&gt;&lt;td&gt;GDP&lt;/td&gt;&lt;td&gt;18,072&lt;/td&gt;&lt;/tr&gt;</v>
      </c>
      <c r="V21" t="str">
        <f t="shared" si="0"/>
        <v>&lt;tr&gt;&lt;td&gt;Currency&lt;/td&gt;&lt;td&gt;Polish złoty&lt;/td&gt;&lt;/tr&gt;</v>
      </c>
    </row>
    <row r="22" spans="1:22" x14ac:dyDescent="0.2">
      <c r="A22" s="8" t="str">
        <f t="shared" si="1"/>
        <v>Lisbon, Portugal</v>
      </c>
      <c r="B22" s="8">
        <f>_xll.GeodesiX.UDF.Geocode(B$1,$A22)</f>
        <v>38.722252400000002</v>
      </c>
      <c r="C22" s="8">
        <f>_xll.GeodesiX.UDF.Geocode(C$1,$A22)</f>
        <v>-9.1393366</v>
      </c>
      <c r="D22" s="8" t="s">
        <v>203</v>
      </c>
      <c r="E22" s="8" t="str">
        <f t="shared" si="2"/>
        <v>&lt;table&gt;&lt;tr&gt;&lt;td&gt;State&lt;/td&gt;&lt;td&gt;Portugal&lt;/td&gt;&lt;/tr&gt;&lt;tr&gt;&lt;td&gt;Capital&lt;/td&gt;&lt;td&gt;Lisbon&lt;/td&gt;&lt;/tr&gt;&lt;tr&gt;&lt;td&gt;Constitutional name&lt;/td&gt;&lt;td&gt;República Portuguesa&lt;/td&gt;&lt;/tr&gt;&lt;tr&gt;&lt;td&gt;Joined&lt;/td&gt;&lt;td&gt;1986&lt;/td&gt;&lt;/tr&gt;&lt;tr&gt;&lt;td&gt;Population&lt;/td&gt;&lt;td&gt;11,317,192&lt;/td&gt;&lt;/tr&gt;&lt;tr&gt;&lt;td&gt;km²&lt;/td&gt;&lt;td&gt;92,391&lt;/td&gt;&lt;/tr&gt;&lt;tr&gt;&lt;td&gt;GDP&lt;/td&gt;&lt;td&gt;21,858&lt;/td&gt;&lt;/tr&gt;&lt;tr&gt;&lt;td&gt;Currency&lt;/td&gt;&lt;td&gt;Euro&lt;/td&gt;&lt;/tr&gt;&lt;/table&gt;</v>
      </c>
      <c r="F22" t="str">
        <f>_xll.GeodesiX.UDF.Geocode(F$1,$A22)</f>
        <v>OK</v>
      </c>
      <c r="G22" t="s">
        <v>72</v>
      </c>
      <c r="H22" t="s">
        <v>71</v>
      </c>
      <c r="I22" t="s">
        <v>204</v>
      </c>
      <c r="J22" s="7">
        <v>1986</v>
      </c>
      <c r="K22" s="7" t="s">
        <v>205</v>
      </c>
      <c r="L22" s="7" t="s">
        <v>206</v>
      </c>
      <c r="M22" s="7" t="s">
        <v>207</v>
      </c>
      <c r="N22" t="s">
        <v>99</v>
      </c>
      <c r="O22" t="str">
        <f t="shared" si="0"/>
        <v>&lt;tr&gt;&lt;td&gt;State&lt;/td&gt;&lt;td&gt;Portugal&lt;/td&gt;&lt;/tr&gt;</v>
      </c>
      <c r="P22" t="str">
        <f t="shared" si="0"/>
        <v>&lt;tr&gt;&lt;td&gt;Capital&lt;/td&gt;&lt;td&gt;Lisbon&lt;/td&gt;&lt;/tr&gt;</v>
      </c>
      <c r="Q22" t="str">
        <f t="shared" si="0"/>
        <v>&lt;tr&gt;&lt;td&gt;Constitutional name&lt;/td&gt;&lt;td&gt;República Portuguesa&lt;/td&gt;&lt;/tr&gt;</v>
      </c>
      <c r="R22" t="str">
        <f t="shared" si="0"/>
        <v>&lt;tr&gt;&lt;td&gt;Joined&lt;/td&gt;&lt;td&gt;1986&lt;/td&gt;&lt;/tr&gt;</v>
      </c>
      <c r="S22" t="str">
        <f t="shared" si="0"/>
        <v>&lt;tr&gt;&lt;td&gt;Population&lt;/td&gt;&lt;td&gt;11,317,192&lt;/td&gt;&lt;/tr&gt;</v>
      </c>
      <c r="T22" t="str">
        <f t="shared" si="0"/>
        <v>&lt;tr&gt;&lt;td&gt;km²&lt;/td&gt;&lt;td&gt;92,391&lt;/td&gt;&lt;/tr&gt;</v>
      </c>
      <c r="U22" t="str">
        <f t="shared" si="0"/>
        <v>&lt;tr&gt;&lt;td&gt;GDP&lt;/td&gt;&lt;td&gt;21,858&lt;/td&gt;&lt;/tr&gt;</v>
      </c>
      <c r="V22" t="str">
        <f t="shared" si="0"/>
        <v>&lt;tr&gt;&lt;td&gt;Currency&lt;/td&gt;&lt;td&gt;Euro&lt;/td&gt;&lt;/tr&gt;</v>
      </c>
    </row>
    <row r="23" spans="1:22" x14ac:dyDescent="0.2">
      <c r="A23" s="8" t="str">
        <f t="shared" si="1"/>
        <v>Bucharest, Romania</v>
      </c>
      <c r="B23" s="8">
        <f>_xll.GeodesiX.UDF.Geocode(B$1,$A23)</f>
        <v>44.426767400000003</v>
      </c>
      <c r="C23" s="8">
        <f>_xll.GeodesiX.UDF.Geocode(C$1,$A23)</f>
        <v>26.1025384</v>
      </c>
      <c r="D23" s="8" t="s">
        <v>208</v>
      </c>
      <c r="E23" s="8" t="str">
        <f t="shared" si="2"/>
        <v>&lt;table&gt;&lt;tr&gt;&lt;td&gt;State&lt;/td&gt;&lt;td&gt;Romania&lt;/td&gt;&lt;/tr&gt;&lt;tr&gt;&lt;td&gt;Capital&lt;/td&gt;&lt;td&gt;Bucharest&lt;/td&gt;&lt;/tr&gt;&lt;tr&gt;&lt;td&gt;Constitutional name&lt;/td&gt;&lt;td&gt;România&lt;/td&gt;&lt;/tr&gt;&lt;tr&gt;&lt;td&gt;Joined&lt;/td&gt;&lt;td&gt;2007&lt;/td&gt;&lt;/tr&gt;&lt;tr&gt;&lt;td&gt;Population&lt;/td&gt;&lt;td&gt;21,466,174&lt;/td&gt;&lt;/tr&gt;&lt;tr&gt;&lt;td&gt;km²&lt;/td&gt;&lt;td&gt;238,391&lt;/td&gt;&lt;/tr&gt;&lt;tr&gt;&lt;td&gt;GDP&lt;/td&gt;&lt;td&gt;11,917&lt;/td&gt;&lt;/tr&gt;&lt;tr&gt;&lt;td&gt;Currency&lt;/td&gt;&lt;td&gt;Romanian leu&lt;/td&gt;&lt;/tr&gt;&lt;/table&gt;</v>
      </c>
      <c r="F23" t="str">
        <f>_xll.GeodesiX.UDF.Geocode(F$1,$A23)</f>
        <v>OK</v>
      </c>
      <c r="G23" t="s">
        <v>73</v>
      </c>
      <c r="H23" t="s">
        <v>209</v>
      </c>
      <c r="I23" t="s">
        <v>210</v>
      </c>
      <c r="J23" s="7">
        <v>2007</v>
      </c>
      <c r="K23" s="7" t="s">
        <v>211</v>
      </c>
      <c r="L23" s="7" t="s">
        <v>212</v>
      </c>
      <c r="M23" s="7" t="s">
        <v>213</v>
      </c>
      <c r="N23" t="s">
        <v>214</v>
      </c>
      <c r="O23" t="str">
        <f t="shared" si="0"/>
        <v>&lt;tr&gt;&lt;td&gt;State&lt;/td&gt;&lt;td&gt;Romania&lt;/td&gt;&lt;/tr&gt;</v>
      </c>
      <c r="P23" t="str">
        <f t="shared" si="0"/>
        <v>&lt;tr&gt;&lt;td&gt;Capital&lt;/td&gt;&lt;td&gt;Bucharest&lt;/td&gt;&lt;/tr&gt;</v>
      </c>
      <c r="Q23" t="str">
        <f t="shared" si="0"/>
        <v>&lt;tr&gt;&lt;td&gt;Constitutional name&lt;/td&gt;&lt;td&gt;România&lt;/td&gt;&lt;/tr&gt;</v>
      </c>
      <c r="R23" t="str">
        <f t="shared" si="0"/>
        <v>&lt;tr&gt;&lt;td&gt;Joined&lt;/td&gt;&lt;td&gt;2007&lt;/td&gt;&lt;/tr&gt;</v>
      </c>
      <c r="S23" t="str">
        <f t="shared" si="0"/>
        <v>&lt;tr&gt;&lt;td&gt;Population&lt;/td&gt;&lt;td&gt;21,466,174&lt;/td&gt;&lt;/tr&gt;</v>
      </c>
      <c r="T23" t="str">
        <f t="shared" si="0"/>
        <v>&lt;tr&gt;&lt;td&gt;km²&lt;/td&gt;&lt;td&gt;238,391&lt;/td&gt;&lt;/tr&gt;</v>
      </c>
      <c r="U23" t="str">
        <f t="shared" si="0"/>
        <v>&lt;tr&gt;&lt;td&gt;GDP&lt;/td&gt;&lt;td&gt;11,917&lt;/td&gt;&lt;/tr&gt;</v>
      </c>
      <c r="V23" t="str">
        <f t="shared" si="0"/>
        <v>&lt;tr&gt;&lt;td&gt;Currency&lt;/td&gt;&lt;td&gt;Romanian leu&lt;/td&gt;&lt;/tr&gt;</v>
      </c>
    </row>
    <row r="24" spans="1:22" x14ac:dyDescent="0.2">
      <c r="A24" s="8" t="str">
        <f t="shared" si="1"/>
        <v>Bratislava, Slovakia</v>
      </c>
      <c r="B24" s="8">
        <f>_xll.GeodesiX.UDF.Geocode(B$1,$A24)</f>
        <v>48.148596499999996</v>
      </c>
      <c r="C24" s="8">
        <f>_xll.GeodesiX.UDF.Geocode(C$1,$A24)</f>
        <v>17.107747700000001</v>
      </c>
      <c r="D24" s="8" t="s">
        <v>215</v>
      </c>
      <c r="E24" s="8" t="str">
        <f t="shared" si="2"/>
        <v>&lt;table&gt;&lt;tr&gt;&lt;td&gt;State&lt;/td&gt;&lt;td&gt;Slovakia&lt;/td&gt;&lt;/tr&gt;&lt;tr&gt;&lt;td&gt;Capital&lt;/td&gt;&lt;td&gt;Bratislava&lt;/td&gt;&lt;/tr&gt;&lt;tr&gt;&lt;td&gt;Constitutional name&lt;/td&gt;&lt;td&gt;Slovenská republika&lt;/td&gt;&lt;/tr&gt;&lt;tr&gt;&lt;td&gt;Joined&lt;/td&gt;&lt;td&gt;2004&lt;/td&gt;&lt;/tr&gt;&lt;tr&gt;&lt;td&gt;Population&lt;/td&gt;&lt;td&gt;5,424,057&lt;/td&gt;&lt;/tr&gt;&lt;tr&gt;&lt;td&gt;km²&lt;/td&gt;&lt;td&gt;49,037&lt;/td&gt;&lt;/tr&gt;&lt;tr&gt;&lt;td&gt;GDP&lt;/td&gt;&lt;td&gt;21,244&lt;/td&gt;&lt;/tr&gt;&lt;tr&gt;&lt;td&gt;Currency&lt;/td&gt;&lt;td&gt;Euro&lt;/td&gt;&lt;/tr&gt;&lt;/table&gt;</v>
      </c>
      <c r="F24" t="str">
        <f>_xll.GeodesiX.UDF.Geocode(F$1,$A24)</f>
        <v>OK</v>
      </c>
      <c r="G24" t="s">
        <v>75</v>
      </c>
      <c r="H24" t="s">
        <v>74</v>
      </c>
      <c r="I24" t="s">
        <v>216</v>
      </c>
      <c r="J24" s="7">
        <v>2004</v>
      </c>
      <c r="K24" s="7" t="s">
        <v>217</v>
      </c>
      <c r="L24" s="7" t="s">
        <v>218</v>
      </c>
      <c r="M24" s="7" t="s">
        <v>219</v>
      </c>
      <c r="N24" t="s">
        <v>99</v>
      </c>
      <c r="O24" t="str">
        <f t="shared" si="0"/>
        <v>&lt;tr&gt;&lt;td&gt;State&lt;/td&gt;&lt;td&gt;Slovakia&lt;/td&gt;&lt;/tr&gt;</v>
      </c>
      <c r="P24" t="str">
        <f t="shared" si="0"/>
        <v>&lt;tr&gt;&lt;td&gt;Capital&lt;/td&gt;&lt;td&gt;Bratislava&lt;/td&gt;&lt;/tr&gt;</v>
      </c>
      <c r="Q24" t="str">
        <f t="shared" si="0"/>
        <v>&lt;tr&gt;&lt;td&gt;Constitutional name&lt;/td&gt;&lt;td&gt;Slovenská republika&lt;/td&gt;&lt;/tr&gt;</v>
      </c>
      <c r="R24" t="str">
        <f t="shared" si="0"/>
        <v>&lt;tr&gt;&lt;td&gt;Joined&lt;/td&gt;&lt;td&gt;2004&lt;/td&gt;&lt;/tr&gt;</v>
      </c>
      <c r="S24" t="str">
        <f t="shared" si="0"/>
        <v>&lt;tr&gt;&lt;td&gt;Population&lt;/td&gt;&lt;td&gt;5,424,057&lt;/td&gt;&lt;/tr&gt;</v>
      </c>
      <c r="T24" t="str">
        <f t="shared" si="0"/>
        <v>&lt;tr&gt;&lt;td&gt;km²&lt;/td&gt;&lt;td&gt;49,037&lt;/td&gt;&lt;/tr&gt;</v>
      </c>
      <c r="U24" t="str">
        <f t="shared" si="0"/>
        <v>&lt;tr&gt;&lt;td&gt;GDP&lt;/td&gt;&lt;td&gt;21,244&lt;/td&gt;&lt;/tr&gt;</v>
      </c>
      <c r="V24" t="str">
        <f t="shared" si="0"/>
        <v>&lt;tr&gt;&lt;td&gt;Currency&lt;/td&gt;&lt;td&gt;Euro&lt;/td&gt;&lt;/tr&gt;</v>
      </c>
    </row>
    <row r="25" spans="1:22" x14ac:dyDescent="0.2">
      <c r="A25" s="8" t="str">
        <f t="shared" si="1"/>
        <v>Ljubljana, Slovenia</v>
      </c>
      <c r="B25" s="8">
        <f>_xll.GeodesiX.UDF.Geocode(B$1,$A25)</f>
        <v>46.056946500000002</v>
      </c>
      <c r="C25" s="8">
        <f>_xll.GeodesiX.UDF.Geocode(C$1,$A25)</f>
        <v>14.505751500000001</v>
      </c>
      <c r="D25" s="8" t="s">
        <v>220</v>
      </c>
      <c r="E25" s="8" t="str">
        <f t="shared" si="2"/>
        <v>&lt;table&gt;&lt;tr&gt;&lt;td&gt;State&lt;/td&gt;&lt;td&gt;Slovenia&lt;/td&gt;&lt;/tr&gt;&lt;tr&gt;&lt;td&gt;Capital&lt;/td&gt;&lt;td&gt;Ljubljana&lt;/td&gt;&lt;/tr&gt;&lt;tr&gt;&lt;td&gt;Constitutional name&lt;/td&gt;&lt;td&gt;Republika Slovenija&lt;/td&gt;&lt;/tr&gt;&lt;tr&gt;&lt;td&gt;Joined&lt;/td&gt;&lt;td&gt;2004&lt;/td&gt;&lt;/tr&gt;&lt;tr&gt;&lt;td&gt;Population&lt;/td&gt;&lt;td&gt;2,054,119&lt;/td&gt;&lt;/tr&gt;&lt;tr&gt;&lt;td&gt;km²&lt;/td&gt;&lt;td&gt;20,273&lt;/td&gt;&lt;/tr&gt;&lt;tr&gt;&lt;td&gt;GDP&lt;/td&gt;&lt;td&gt;27,654&lt;/td&gt;&lt;/tr&gt;&lt;tr&gt;&lt;td&gt;Currency&lt;/td&gt;&lt;td&gt;Euro&lt;/td&gt;&lt;/tr&gt;&lt;/table&gt;</v>
      </c>
      <c r="F25" t="str">
        <f>_xll.GeodesiX.UDF.Geocode(F$1,$A25)</f>
        <v>OK</v>
      </c>
      <c r="G25" t="s">
        <v>76</v>
      </c>
      <c r="H25" t="s">
        <v>77</v>
      </c>
      <c r="I25" t="s">
        <v>221</v>
      </c>
      <c r="J25" s="7">
        <v>2004</v>
      </c>
      <c r="K25" s="7" t="s">
        <v>222</v>
      </c>
      <c r="L25" s="7" t="s">
        <v>223</v>
      </c>
      <c r="M25" s="7" t="s">
        <v>224</v>
      </c>
      <c r="N25" t="s">
        <v>99</v>
      </c>
      <c r="O25" t="str">
        <f t="shared" si="0"/>
        <v>&lt;tr&gt;&lt;td&gt;State&lt;/td&gt;&lt;td&gt;Slovenia&lt;/td&gt;&lt;/tr&gt;</v>
      </c>
      <c r="P25" t="str">
        <f t="shared" si="0"/>
        <v>&lt;tr&gt;&lt;td&gt;Capital&lt;/td&gt;&lt;td&gt;Ljubljana&lt;/td&gt;&lt;/tr&gt;</v>
      </c>
      <c r="Q25" t="str">
        <f t="shared" si="0"/>
        <v>&lt;tr&gt;&lt;td&gt;Constitutional name&lt;/td&gt;&lt;td&gt;Republika Slovenija&lt;/td&gt;&lt;/tr&gt;</v>
      </c>
      <c r="R25" t="str">
        <f t="shared" si="0"/>
        <v>&lt;tr&gt;&lt;td&gt;Joined&lt;/td&gt;&lt;td&gt;2004&lt;/td&gt;&lt;/tr&gt;</v>
      </c>
      <c r="S25" t="str">
        <f t="shared" si="0"/>
        <v>&lt;tr&gt;&lt;td&gt;Population&lt;/td&gt;&lt;td&gt;2,054,119&lt;/td&gt;&lt;/tr&gt;</v>
      </c>
      <c r="T25" t="str">
        <f t="shared" si="0"/>
        <v>&lt;tr&gt;&lt;td&gt;km²&lt;/td&gt;&lt;td&gt;20,273&lt;/td&gt;&lt;/tr&gt;</v>
      </c>
      <c r="U25" t="str">
        <f t="shared" si="0"/>
        <v>&lt;tr&gt;&lt;td&gt;GDP&lt;/td&gt;&lt;td&gt;27,654&lt;/td&gt;&lt;/tr&gt;</v>
      </c>
      <c r="V25" t="str">
        <f t="shared" si="0"/>
        <v>&lt;tr&gt;&lt;td&gt;Currency&lt;/td&gt;&lt;td&gt;Euro&lt;/td&gt;&lt;/tr&gt;</v>
      </c>
    </row>
    <row r="26" spans="1:22" x14ac:dyDescent="0.2">
      <c r="A26" s="8" t="str">
        <f t="shared" si="1"/>
        <v>Madrid, Spain</v>
      </c>
      <c r="B26" s="8">
        <f>_xll.GeodesiX.UDF.Geocode(B$1,$A26)</f>
        <v>40.416775399999999</v>
      </c>
      <c r="C26" s="8">
        <f>_xll.GeodesiX.UDF.Geocode(C$1,$A26)</f>
        <v>-3.7037901999999998</v>
      </c>
      <c r="D26" s="8" t="s">
        <v>225</v>
      </c>
      <c r="E26" s="8" t="str">
        <f t="shared" si="2"/>
        <v>&lt;table&gt;&lt;tr&gt;&lt;td&gt;State&lt;/td&gt;&lt;td&gt;Spain&lt;/td&gt;&lt;/tr&gt;&lt;tr&gt;&lt;td&gt;Capital&lt;/td&gt;&lt;td&gt;Madrid&lt;/td&gt;&lt;/tr&gt;&lt;tr&gt;&lt;td&gt;Constitutional name&lt;/td&gt;&lt;td&gt;Reino de España&lt;/td&gt;&lt;/tr&gt;&lt;tr&gt;&lt;td&gt;Joined&lt;/td&gt;&lt;td&gt;1986&lt;/td&gt;&lt;/tr&gt;&lt;tr&gt;&lt;td&gt;Population&lt;/td&gt;&lt;td&gt;46,087,170&lt;/td&gt;&lt;/tr&gt;&lt;tr&gt;&lt;td&gt;km²&lt;/td&gt;&lt;td&gt;506,030&lt;/td&gt;&lt;/tr&gt;&lt;tr&gt;&lt;td&gt;GDP&lt;/td&gt;&lt;td&gt;31,963&lt;/td&gt;&lt;/tr&gt;&lt;tr&gt;&lt;td&gt;Currency&lt;/td&gt;&lt;td&gt;Euro&lt;/td&gt;&lt;/tr&gt;&lt;/table&gt;</v>
      </c>
      <c r="F26" t="str">
        <f>_xll.GeodesiX.UDF.Geocode(F$1,$A26)</f>
        <v>OK</v>
      </c>
      <c r="G26" t="s">
        <v>79</v>
      </c>
      <c r="H26" t="s">
        <v>78</v>
      </c>
      <c r="I26" t="s">
        <v>226</v>
      </c>
      <c r="J26" s="7">
        <v>1986</v>
      </c>
      <c r="K26" s="7" t="s">
        <v>227</v>
      </c>
      <c r="L26" s="7" t="s">
        <v>228</v>
      </c>
      <c r="M26" s="7" t="s">
        <v>229</v>
      </c>
      <c r="N26" t="s">
        <v>99</v>
      </c>
      <c r="O26" t="str">
        <f t="shared" si="0"/>
        <v>&lt;tr&gt;&lt;td&gt;State&lt;/td&gt;&lt;td&gt;Spain&lt;/td&gt;&lt;/tr&gt;</v>
      </c>
      <c r="P26" t="str">
        <f t="shared" si="0"/>
        <v>&lt;tr&gt;&lt;td&gt;Capital&lt;/td&gt;&lt;td&gt;Madrid&lt;/td&gt;&lt;/tr&gt;</v>
      </c>
      <c r="Q26" t="str">
        <f t="shared" si="0"/>
        <v>&lt;tr&gt;&lt;td&gt;Constitutional name&lt;/td&gt;&lt;td&gt;Reino de España&lt;/td&gt;&lt;/tr&gt;</v>
      </c>
      <c r="R26" t="str">
        <f t="shared" si="0"/>
        <v>&lt;tr&gt;&lt;td&gt;Joined&lt;/td&gt;&lt;td&gt;1986&lt;/td&gt;&lt;/tr&gt;</v>
      </c>
      <c r="S26" t="str">
        <f t="shared" si="0"/>
        <v>&lt;tr&gt;&lt;td&gt;Population&lt;/td&gt;&lt;td&gt;46,087,170&lt;/td&gt;&lt;/tr&gt;</v>
      </c>
      <c r="T26" t="str">
        <f t="shared" si="0"/>
        <v>&lt;tr&gt;&lt;td&gt;km²&lt;/td&gt;&lt;td&gt;506,030&lt;/td&gt;&lt;/tr&gt;</v>
      </c>
      <c r="U26" t="str">
        <f t="shared" si="0"/>
        <v>&lt;tr&gt;&lt;td&gt;GDP&lt;/td&gt;&lt;td&gt;31,963&lt;/td&gt;&lt;/tr&gt;</v>
      </c>
      <c r="V26" t="str">
        <f t="shared" si="0"/>
        <v>&lt;tr&gt;&lt;td&gt;Currency&lt;/td&gt;&lt;td&gt;Euro&lt;/td&gt;&lt;/tr&gt;</v>
      </c>
    </row>
    <row r="27" spans="1:22" x14ac:dyDescent="0.2">
      <c r="A27" s="8" t="str">
        <f t="shared" si="1"/>
        <v>Stockholm, Sweden</v>
      </c>
      <c r="B27" s="8">
        <f>_xll.GeodesiX.UDF.Geocode(B$1,$A27)</f>
        <v>59.329323500000001</v>
      </c>
      <c r="C27" s="8">
        <f>_xll.GeodesiX.UDF.Geocode(C$1,$A27)</f>
        <v>18.068580799999999</v>
      </c>
      <c r="D27" s="8" t="s">
        <v>230</v>
      </c>
      <c r="E27" s="8" t="str">
        <f t="shared" si="2"/>
        <v>&lt;table&gt;&lt;tr&gt;&lt;td&gt;State&lt;/td&gt;&lt;td&gt;Sweden&lt;/td&gt;&lt;/tr&gt;&lt;tr&gt;&lt;td&gt;Capital&lt;/td&gt;&lt;td&gt;Stockholm&lt;/td&gt;&lt;/tr&gt;&lt;tr&gt;&lt;td&gt;Constitutional name&lt;/td&gt;&lt;td&gt;Konungariket Sverige&lt;/td&gt;&lt;/tr&gt;&lt;tr&gt;&lt;td&gt;Joined&lt;/td&gt;&lt;td&gt;1995&lt;/td&gt;&lt;/tr&gt;&lt;tr&gt;&lt;td&gt;Population&lt;/td&gt;&lt;td&gt;9,347,899&lt;/td&gt;&lt;/tr&gt;&lt;tr&gt;&lt;td&gt;km²&lt;/td&gt;&lt;td&gt;449,964&lt;/td&gt;&lt;/tr&gt;&lt;tr&gt;&lt;td&gt;GDP&lt;/td&gt;&lt;td&gt;35,964&lt;/td&gt;&lt;/tr&gt;&lt;tr&gt;&lt;td&gt;Currency&lt;/td&gt;&lt;td&gt;Swedish krona&lt;/td&gt;&lt;/tr&gt;&lt;/table&gt;</v>
      </c>
      <c r="F27" t="str">
        <f>_xll.GeodesiX.UDF.Geocode(F$1,$A27)</f>
        <v>OK</v>
      </c>
      <c r="G27" t="s">
        <v>81</v>
      </c>
      <c r="H27" t="s">
        <v>80</v>
      </c>
      <c r="I27" t="s">
        <v>231</v>
      </c>
      <c r="J27" s="7">
        <v>1995</v>
      </c>
      <c r="K27" s="7" t="s">
        <v>232</v>
      </c>
      <c r="L27" s="7" t="s">
        <v>233</v>
      </c>
      <c r="M27" s="7" t="s">
        <v>234</v>
      </c>
      <c r="N27" t="s">
        <v>235</v>
      </c>
      <c r="O27" t="str">
        <f t="shared" si="0"/>
        <v>&lt;tr&gt;&lt;td&gt;State&lt;/td&gt;&lt;td&gt;Sweden&lt;/td&gt;&lt;/tr&gt;</v>
      </c>
      <c r="P27" t="str">
        <f t="shared" si="0"/>
        <v>&lt;tr&gt;&lt;td&gt;Capital&lt;/td&gt;&lt;td&gt;Stockholm&lt;/td&gt;&lt;/tr&gt;</v>
      </c>
      <c r="Q27" t="str">
        <f t="shared" si="0"/>
        <v>&lt;tr&gt;&lt;td&gt;Constitutional name&lt;/td&gt;&lt;td&gt;Konungariket Sverige&lt;/td&gt;&lt;/tr&gt;</v>
      </c>
      <c r="R27" t="str">
        <f t="shared" si="0"/>
        <v>&lt;tr&gt;&lt;td&gt;Joined&lt;/td&gt;&lt;td&gt;1995&lt;/td&gt;&lt;/tr&gt;</v>
      </c>
      <c r="S27" t="str">
        <f t="shared" si="0"/>
        <v>&lt;tr&gt;&lt;td&gt;Population&lt;/td&gt;&lt;td&gt;9,347,899&lt;/td&gt;&lt;/tr&gt;</v>
      </c>
      <c r="T27" t="str">
        <f t="shared" si="0"/>
        <v>&lt;tr&gt;&lt;td&gt;km²&lt;/td&gt;&lt;td&gt;449,964&lt;/td&gt;&lt;/tr&gt;</v>
      </c>
      <c r="U27" t="str">
        <f t="shared" si="0"/>
        <v>&lt;tr&gt;&lt;td&gt;GDP&lt;/td&gt;&lt;td&gt;35,964&lt;/td&gt;&lt;/tr&gt;</v>
      </c>
      <c r="V27" t="str">
        <f t="shared" si="0"/>
        <v>&lt;tr&gt;&lt;td&gt;Currency&lt;/td&gt;&lt;td&gt;Swedish krona&lt;/td&gt;&lt;/tr&gt;</v>
      </c>
    </row>
  </sheetData>
  <autoFilter ref="A1:V1" xr:uid="{00000000-0009-0000-0000-000002000000}"/>
  <phoneticPr fontId="4" type="noConversion"/>
  <pageMargins left="0.75" right="0.75" top="1" bottom="1" header="0.5" footer="0.5"/>
  <headerFooter alignWithMargins="0"/>
  <customProperties>
    <customPr name="id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C8ED7-9E0B-4C78-9A1B-19B279383B7C}">
  <sheetPr codeName="Sheet3"/>
  <dimension ref="A1:P27"/>
  <sheetViews>
    <sheetView workbookViewId="0"/>
  </sheetViews>
  <sheetFormatPr defaultRowHeight="12.75" x14ac:dyDescent="0.2"/>
  <sheetData>
    <row r="1" spans="1:16" x14ac:dyDescent="0.2">
      <c r="A1">
        <v>28</v>
      </c>
      <c r="B1" t="s">
        <v>25</v>
      </c>
      <c r="C1" t="s">
        <v>276</v>
      </c>
      <c r="D1" t="s">
        <v>277</v>
      </c>
      <c r="E1" t="s">
        <v>278</v>
      </c>
      <c r="F1" t="s">
        <v>279</v>
      </c>
      <c r="G1" t="s">
        <v>280</v>
      </c>
      <c r="H1" t="s">
        <v>281</v>
      </c>
      <c r="I1" t="s">
        <v>282</v>
      </c>
      <c r="J1" t="s">
        <v>26</v>
      </c>
      <c r="K1" t="s">
        <v>283</v>
      </c>
      <c r="L1" t="s">
        <v>284</v>
      </c>
      <c r="M1" t="s">
        <v>27</v>
      </c>
      <c r="N1" t="s">
        <v>285</v>
      </c>
      <c r="O1" t="s">
        <v>286</v>
      </c>
      <c r="P1" t="s">
        <v>25</v>
      </c>
    </row>
    <row r="2" spans="1:16" x14ac:dyDescent="0.2">
      <c r="A2" t="s">
        <v>287</v>
      </c>
      <c r="B2" t="s">
        <v>288</v>
      </c>
      <c r="C2" t="s">
        <v>289</v>
      </c>
      <c r="D2" t="s">
        <v>290</v>
      </c>
      <c r="F2" t="s">
        <v>291</v>
      </c>
      <c r="G2" t="s">
        <v>292</v>
      </c>
      <c r="H2" t="s">
        <v>192</v>
      </c>
      <c r="I2" t="s">
        <v>287</v>
      </c>
      <c r="J2">
        <v>52.367573399999998</v>
      </c>
      <c r="K2" t="s">
        <v>68</v>
      </c>
      <c r="L2" t="s">
        <v>293</v>
      </c>
      <c r="M2">
        <v>4.9041389000000004</v>
      </c>
      <c r="N2" t="s">
        <v>294</v>
      </c>
    </row>
    <row r="3" spans="1:16" x14ac:dyDescent="0.2">
      <c r="A3" t="s">
        <v>295</v>
      </c>
      <c r="B3" t="s">
        <v>288</v>
      </c>
      <c r="E3" t="s">
        <v>296</v>
      </c>
      <c r="F3" t="s">
        <v>297</v>
      </c>
      <c r="G3" t="s">
        <v>298</v>
      </c>
      <c r="H3" t="s">
        <v>54</v>
      </c>
      <c r="I3" t="s">
        <v>295</v>
      </c>
      <c r="J3">
        <v>37.983809600000001</v>
      </c>
      <c r="K3" t="s">
        <v>53</v>
      </c>
      <c r="L3" t="s">
        <v>293</v>
      </c>
      <c r="M3">
        <v>23.727538800000001</v>
      </c>
      <c r="N3" t="s">
        <v>299</v>
      </c>
    </row>
    <row r="4" spans="1:16" x14ac:dyDescent="0.2">
      <c r="A4" t="s">
        <v>300</v>
      </c>
      <c r="B4" t="s">
        <v>288</v>
      </c>
      <c r="C4" t="s">
        <v>51</v>
      </c>
      <c r="E4" t="s">
        <v>301</v>
      </c>
      <c r="F4" t="s">
        <v>302</v>
      </c>
      <c r="G4" t="s">
        <v>303</v>
      </c>
      <c r="H4" t="s">
        <v>52</v>
      </c>
      <c r="I4" t="s">
        <v>300</v>
      </c>
      <c r="J4">
        <v>52.520006600000002</v>
      </c>
      <c r="K4" t="s">
        <v>51</v>
      </c>
      <c r="L4" t="s">
        <v>293</v>
      </c>
      <c r="M4">
        <v>13.404954</v>
      </c>
      <c r="N4" t="s">
        <v>304</v>
      </c>
    </row>
    <row r="5" spans="1:16" x14ac:dyDescent="0.2">
      <c r="A5" t="s">
        <v>305</v>
      </c>
      <c r="B5" t="s">
        <v>288</v>
      </c>
      <c r="C5" t="s">
        <v>306</v>
      </c>
      <c r="F5" t="s">
        <v>307</v>
      </c>
      <c r="G5" t="s">
        <v>308</v>
      </c>
      <c r="H5" t="s">
        <v>75</v>
      </c>
      <c r="I5" t="s">
        <v>305</v>
      </c>
      <c r="J5">
        <v>48.148596499999996</v>
      </c>
      <c r="K5" t="s">
        <v>74</v>
      </c>
      <c r="L5" t="s">
        <v>293</v>
      </c>
      <c r="M5">
        <v>17.107747700000001</v>
      </c>
      <c r="N5" t="s">
        <v>309</v>
      </c>
    </row>
    <row r="6" spans="1:16" x14ac:dyDescent="0.2">
      <c r="A6" t="s">
        <v>310</v>
      </c>
      <c r="B6" t="s">
        <v>288</v>
      </c>
      <c r="C6" t="s">
        <v>36</v>
      </c>
      <c r="F6" t="s">
        <v>311</v>
      </c>
      <c r="G6" t="s">
        <v>312</v>
      </c>
      <c r="H6" t="s">
        <v>35</v>
      </c>
      <c r="I6" t="s">
        <v>310</v>
      </c>
      <c r="J6">
        <v>50.826045299999997</v>
      </c>
      <c r="L6" t="s">
        <v>293</v>
      </c>
      <c r="M6">
        <v>4.3802051999999998</v>
      </c>
      <c r="N6" t="s">
        <v>313</v>
      </c>
    </row>
    <row r="7" spans="1:16" x14ac:dyDescent="0.2">
      <c r="A7" t="s">
        <v>314</v>
      </c>
      <c r="B7" t="s">
        <v>288</v>
      </c>
      <c r="C7" t="s">
        <v>209</v>
      </c>
      <c r="D7" t="s">
        <v>209</v>
      </c>
      <c r="F7" t="s">
        <v>315</v>
      </c>
      <c r="G7" t="s">
        <v>316</v>
      </c>
      <c r="H7" t="s">
        <v>73</v>
      </c>
      <c r="I7" t="s">
        <v>314</v>
      </c>
      <c r="J7">
        <v>44.426767400000003</v>
      </c>
      <c r="K7" t="s">
        <v>209</v>
      </c>
      <c r="L7" t="s">
        <v>293</v>
      </c>
      <c r="M7">
        <v>26.1025384</v>
      </c>
      <c r="N7" t="s">
        <v>317</v>
      </c>
    </row>
    <row r="8" spans="1:16" x14ac:dyDescent="0.2">
      <c r="A8" t="s">
        <v>318</v>
      </c>
      <c r="B8" t="s">
        <v>288</v>
      </c>
      <c r="F8" t="s">
        <v>319</v>
      </c>
      <c r="G8" t="s">
        <v>320</v>
      </c>
      <c r="H8" t="s">
        <v>56</v>
      </c>
      <c r="I8" t="s">
        <v>318</v>
      </c>
      <c r="J8">
        <v>47.497911999999999</v>
      </c>
      <c r="K8" t="s">
        <v>55</v>
      </c>
      <c r="L8" t="s">
        <v>293</v>
      </c>
      <c r="M8">
        <v>19.040234999999999</v>
      </c>
      <c r="N8" t="s">
        <v>321</v>
      </c>
    </row>
    <row r="9" spans="1:16" x14ac:dyDescent="0.2">
      <c r="A9" t="s">
        <v>322</v>
      </c>
      <c r="B9" t="s">
        <v>288</v>
      </c>
      <c r="F9" t="s">
        <v>323</v>
      </c>
      <c r="G9" t="s">
        <v>324</v>
      </c>
      <c r="H9" t="s">
        <v>43</v>
      </c>
      <c r="I9" t="s">
        <v>322</v>
      </c>
      <c r="J9">
        <v>55.676096800000003</v>
      </c>
      <c r="K9" t="s">
        <v>44</v>
      </c>
      <c r="L9" t="s">
        <v>293</v>
      </c>
      <c r="M9">
        <v>12.568337100000001</v>
      </c>
      <c r="N9" t="s">
        <v>325</v>
      </c>
    </row>
    <row r="10" spans="1:16" x14ac:dyDescent="0.2">
      <c r="A10" t="s">
        <v>326</v>
      </c>
      <c r="B10" t="s">
        <v>288</v>
      </c>
      <c r="C10" t="s">
        <v>327</v>
      </c>
      <c r="F10" t="s">
        <v>328</v>
      </c>
      <c r="G10" t="s">
        <v>329</v>
      </c>
      <c r="H10" t="s">
        <v>57</v>
      </c>
      <c r="I10" t="s">
        <v>326</v>
      </c>
      <c r="J10">
        <v>53.3498053</v>
      </c>
      <c r="K10" t="s">
        <v>58</v>
      </c>
      <c r="L10" t="s">
        <v>293</v>
      </c>
      <c r="M10">
        <v>-6.2603096999999996</v>
      </c>
      <c r="N10" t="s">
        <v>330</v>
      </c>
    </row>
    <row r="11" spans="1:16" x14ac:dyDescent="0.2">
      <c r="A11" t="s">
        <v>331</v>
      </c>
      <c r="B11" t="s">
        <v>288</v>
      </c>
      <c r="C11" t="s">
        <v>332</v>
      </c>
      <c r="D11" t="s">
        <v>48</v>
      </c>
      <c r="E11" t="s">
        <v>48</v>
      </c>
      <c r="F11" t="s">
        <v>333</v>
      </c>
      <c r="G11" t="s">
        <v>334</v>
      </c>
      <c r="H11" t="s">
        <v>47</v>
      </c>
      <c r="I11" t="s">
        <v>331</v>
      </c>
      <c r="J11">
        <v>60.169855699999999</v>
      </c>
      <c r="K11" t="s">
        <v>48</v>
      </c>
      <c r="L11" t="s">
        <v>293</v>
      </c>
      <c r="M11">
        <v>24.938379000000001</v>
      </c>
      <c r="N11" t="s">
        <v>335</v>
      </c>
    </row>
    <row r="12" spans="1:16" x14ac:dyDescent="0.2">
      <c r="A12" t="s">
        <v>336</v>
      </c>
      <c r="B12" t="s">
        <v>288</v>
      </c>
      <c r="C12" t="s">
        <v>71</v>
      </c>
      <c r="D12" t="s">
        <v>71</v>
      </c>
      <c r="F12" t="s">
        <v>337</v>
      </c>
      <c r="G12" t="s">
        <v>338</v>
      </c>
      <c r="H12" t="s">
        <v>72</v>
      </c>
      <c r="I12" t="s">
        <v>336</v>
      </c>
      <c r="J12">
        <v>38.722252400000002</v>
      </c>
      <c r="K12" t="s">
        <v>71</v>
      </c>
      <c r="L12" t="s">
        <v>293</v>
      </c>
      <c r="M12">
        <v>-9.1393366</v>
      </c>
      <c r="N12" t="s">
        <v>339</v>
      </c>
    </row>
    <row r="13" spans="1:16" x14ac:dyDescent="0.2">
      <c r="A13" t="s">
        <v>340</v>
      </c>
      <c r="B13" t="s">
        <v>288</v>
      </c>
      <c r="C13" t="s">
        <v>77</v>
      </c>
      <c r="F13" t="s">
        <v>341</v>
      </c>
      <c r="G13" t="s">
        <v>342</v>
      </c>
      <c r="H13" t="s">
        <v>76</v>
      </c>
      <c r="I13" t="s">
        <v>340</v>
      </c>
      <c r="J13">
        <v>46.056946500000002</v>
      </c>
      <c r="K13" t="s">
        <v>77</v>
      </c>
      <c r="L13" t="s">
        <v>293</v>
      </c>
      <c r="M13">
        <v>14.505751500000001</v>
      </c>
      <c r="N13" t="s">
        <v>343</v>
      </c>
    </row>
    <row r="14" spans="1:16" x14ac:dyDescent="0.2">
      <c r="A14" t="s">
        <v>344</v>
      </c>
      <c r="B14" t="s">
        <v>288</v>
      </c>
      <c r="F14" t="s">
        <v>345</v>
      </c>
      <c r="G14" t="s">
        <v>346</v>
      </c>
      <c r="H14" t="s">
        <v>65</v>
      </c>
      <c r="I14" t="s">
        <v>65</v>
      </c>
      <c r="J14">
        <v>49.815272999999998</v>
      </c>
      <c r="L14" t="s">
        <v>293</v>
      </c>
      <c r="M14">
        <v>6.1295830000000002</v>
      </c>
      <c r="N14" t="s">
        <v>347</v>
      </c>
    </row>
    <row r="15" spans="1:16" x14ac:dyDescent="0.2">
      <c r="A15" t="s">
        <v>348</v>
      </c>
      <c r="B15" t="s">
        <v>288</v>
      </c>
      <c r="C15" t="s">
        <v>349</v>
      </c>
      <c r="D15" t="s">
        <v>78</v>
      </c>
      <c r="F15" t="s">
        <v>350</v>
      </c>
      <c r="G15" t="s">
        <v>351</v>
      </c>
      <c r="H15" t="s">
        <v>79</v>
      </c>
      <c r="I15" t="s">
        <v>348</v>
      </c>
      <c r="J15">
        <v>40.416775399999999</v>
      </c>
      <c r="K15" t="s">
        <v>78</v>
      </c>
      <c r="L15" t="s">
        <v>293</v>
      </c>
      <c r="M15">
        <v>-3.7037901999999998</v>
      </c>
      <c r="N15" t="s">
        <v>352</v>
      </c>
    </row>
    <row r="16" spans="1:16" x14ac:dyDescent="0.2">
      <c r="A16" t="s">
        <v>353</v>
      </c>
      <c r="B16" t="s">
        <v>288</v>
      </c>
      <c r="C16" t="s">
        <v>39</v>
      </c>
      <c r="F16" t="s">
        <v>354</v>
      </c>
      <c r="G16" t="s">
        <v>355</v>
      </c>
      <c r="H16" t="s">
        <v>40</v>
      </c>
      <c r="I16" t="s">
        <v>353</v>
      </c>
      <c r="J16">
        <v>35.1855659</v>
      </c>
      <c r="K16" t="s">
        <v>39</v>
      </c>
      <c r="L16" t="s">
        <v>293</v>
      </c>
      <c r="M16">
        <v>33.382276400000002</v>
      </c>
      <c r="N16" t="s">
        <v>356</v>
      </c>
    </row>
    <row r="17" spans="1:15" x14ac:dyDescent="0.2">
      <c r="A17" t="s">
        <v>357</v>
      </c>
      <c r="B17" t="s">
        <v>288</v>
      </c>
      <c r="C17" t="s">
        <v>358</v>
      </c>
      <c r="D17" t="s">
        <v>49</v>
      </c>
      <c r="F17" t="s">
        <v>359</v>
      </c>
      <c r="G17" t="s">
        <v>360</v>
      </c>
      <c r="H17" t="s">
        <v>50</v>
      </c>
      <c r="I17" t="s">
        <v>357</v>
      </c>
      <c r="J17">
        <v>48.857547500000003</v>
      </c>
      <c r="K17" t="s">
        <v>49</v>
      </c>
      <c r="L17" t="s">
        <v>293</v>
      </c>
      <c r="M17">
        <v>2.3513765000000002</v>
      </c>
      <c r="N17" t="s">
        <v>361</v>
      </c>
    </row>
    <row r="18" spans="1:15" x14ac:dyDescent="0.2">
      <c r="A18" t="s">
        <v>362</v>
      </c>
      <c r="B18" t="s">
        <v>288</v>
      </c>
      <c r="C18" t="s">
        <v>41</v>
      </c>
      <c r="D18" t="s">
        <v>363</v>
      </c>
      <c r="F18" t="s">
        <v>364</v>
      </c>
      <c r="G18" t="s">
        <v>365</v>
      </c>
      <c r="H18" t="s">
        <v>366</v>
      </c>
      <c r="I18" t="s">
        <v>367</v>
      </c>
      <c r="J18">
        <v>50.075538100000003</v>
      </c>
      <c r="K18" t="s">
        <v>41</v>
      </c>
      <c r="L18" t="s">
        <v>293</v>
      </c>
      <c r="M18">
        <v>14.4378005</v>
      </c>
      <c r="N18" t="s">
        <v>368</v>
      </c>
    </row>
    <row r="19" spans="1:15" x14ac:dyDescent="0.2">
      <c r="A19" t="s">
        <v>369</v>
      </c>
      <c r="B19" t="s">
        <v>288</v>
      </c>
      <c r="F19" t="s">
        <v>370</v>
      </c>
      <c r="G19" t="s">
        <v>371</v>
      </c>
      <c r="H19" t="s">
        <v>62</v>
      </c>
      <c r="I19" t="s">
        <v>369</v>
      </c>
      <c r="J19">
        <v>56.967694100000003</v>
      </c>
      <c r="K19" t="s">
        <v>61</v>
      </c>
      <c r="L19" t="s">
        <v>293</v>
      </c>
      <c r="M19">
        <v>24.105622100000001</v>
      </c>
      <c r="N19" t="s">
        <v>372</v>
      </c>
    </row>
    <row r="20" spans="1:15" x14ac:dyDescent="0.2">
      <c r="A20" t="s">
        <v>373</v>
      </c>
      <c r="B20" t="s">
        <v>288</v>
      </c>
      <c r="C20" t="s">
        <v>374</v>
      </c>
      <c r="D20" t="s">
        <v>375</v>
      </c>
      <c r="E20" t="s">
        <v>59</v>
      </c>
      <c r="F20" t="s">
        <v>376</v>
      </c>
      <c r="G20" t="s">
        <v>377</v>
      </c>
      <c r="H20" t="s">
        <v>60</v>
      </c>
      <c r="I20" t="s">
        <v>378</v>
      </c>
      <c r="J20">
        <v>41.896706799999997</v>
      </c>
      <c r="K20" t="s">
        <v>59</v>
      </c>
      <c r="L20" t="s">
        <v>293</v>
      </c>
      <c r="M20">
        <v>12.4822025</v>
      </c>
      <c r="N20" t="s">
        <v>379</v>
      </c>
    </row>
    <row r="21" spans="1:15" x14ac:dyDescent="0.2">
      <c r="A21" t="s">
        <v>380</v>
      </c>
      <c r="B21" t="s">
        <v>288</v>
      </c>
      <c r="C21" t="s">
        <v>381</v>
      </c>
      <c r="F21" t="s">
        <v>382</v>
      </c>
      <c r="G21" t="s">
        <v>383</v>
      </c>
      <c r="H21" t="s">
        <v>37</v>
      </c>
      <c r="I21" t="s">
        <v>380</v>
      </c>
      <c r="J21">
        <v>42.697708200000001</v>
      </c>
      <c r="K21" t="s">
        <v>38</v>
      </c>
      <c r="L21" t="s">
        <v>293</v>
      </c>
      <c r="M21">
        <v>23.3218675</v>
      </c>
      <c r="N21" t="s">
        <v>384</v>
      </c>
    </row>
    <row r="22" spans="1:15" x14ac:dyDescent="0.2">
      <c r="A22" t="s">
        <v>385</v>
      </c>
      <c r="B22" t="s">
        <v>288</v>
      </c>
      <c r="C22" t="s">
        <v>386</v>
      </c>
      <c r="F22" t="s">
        <v>387</v>
      </c>
      <c r="G22" t="s">
        <v>388</v>
      </c>
      <c r="H22" t="s">
        <v>81</v>
      </c>
      <c r="I22" t="s">
        <v>385</v>
      </c>
      <c r="J22">
        <v>59.329323500000001</v>
      </c>
      <c r="K22" t="s">
        <v>80</v>
      </c>
      <c r="L22" t="s">
        <v>293</v>
      </c>
      <c r="M22">
        <v>18.068580799999999</v>
      </c>
      <c r="N22" t="s">
        <v>389</v>
      </c>
    </row>
    <row r="23" spans="1:15" x14ac:dyDescent="0.2">
      <c r="A23" t="s">
        <v>390</v>
      </c>
      <c r="B23" t="s">
        <v>288</v>
      </c>
      <c r="C23" t="s">
        <v>391</v>
      </c>
      <c r="F23" t="s">
        <v>392</v>
      </c>
      <c r="G23" t="s">
        <v>393</v>
      </c>
      <c r="H23" t="s">
        <v>45</v>
      </c>
      <c r="I23" t="s">
        <v>390</v>
      </c>
      <c r="J23">
        <v>59.436960800000001</v>
      </c>
      <c r="K23" t="s">
        <v>46</v>
      </c>
      <c r="L23" t="s">
        <v>293</v>
      </c>
      <c r="M23">
        <v>24.7535746</v>
      </c>
      <c r="N23" t="s">
        <v>394</v>
      </c>
    </row>
    <row r="24" spans="1:15" x14ac:dyDescent="0.2">
      <c r="A24" t="s">
        <v>395</v>
      </c>
      <c r="B24" t="s">
        <v>288</v>
      </c>
      <c r="F24" t="s">
        <v>396</v>
      </c>
      <c r="G24" t="s">
        <v>397</v>
      </c>
      <c r="H24" t="s">
        <v>66</v>
      </c>
      <c r="I24" t="s">
        <v>395</v>
      </c>
      <c r="J24">
        <v>35.899237499999998</v>
      </c>
      <c r="K24" t="s">
        <v>67</v>
      </c>
      <c r="L24" t="s">
        <v>293</v>
      </c>
      <c r="M24">
        <v>14.5140996</v>
      </c>
      <c r="N24" t="s">
        <v>398</v>
      </c>
    </row>
    <row r="25" spans="1:15" x14ac:dyDescent="0.2">
      <c r="A25" t="s">
        <v>399</v>
      </c>
      <c r="B25" t="s">
        <v>288</v>
      </c>
      <c r="C25" t="s">
        <v>34</v>
      </c>
      <c r="D25" t="s">
        <v>34</v>
      </c>
      <c r="F25" t="s">
        <v>400</v>
      </c>
      <c r="G25" t="s">
        <v>401</v>
      </c>
      <c r="H25" t="s">
        <v>33</v>
      </c>
      <c r="I25" t="s">
        <v>402</v>
      </c>
      <c r="J25">
        <v>48.208069600000002</v>
      </c>
      <c r="K25" t="s">
        <v>34</v>
      </c>
      <c r="L25" t="s">
        <v>293</v>
      </c>
      <c r="M25">
        <v>16.371309499999999</v>
      </c>
      <c r="N25" t="s">
        <v>403</v>
      </c>
    </row>
    <row r="26" spans="1:15" x14ac:dyDescent="0.2">
      <c r="A26" t="s">
        <v>404</v>
      </c>
      <c r="B26" t="s">
        <v>288</v>
      </c>
      <c r="C26" t="s">
        <v>405</v>
      </c>
      <c r="D26" t="s">
        <v>406</v>
      </c>
      <c r="F26" t="s">
        <v>407</v>
      </c>
      <c r="G26" t="s">
        <v>408</v>
      </c>
      <c r="H26" t="s">
        <v>63</v>
      </c>
      <c r="I26" t="s">
        <v>409</v>
      </c>
      <c r="J26">
        <v>54.687155500000003</v>
      </c>
      <c r="K26" t="s">
        <v>64</v>
      </c>
      <c r="L26" t="s">
        <v>293</v>
      </c>
      <c r="M26">
        <v>25.279651399999999</v>
      </c>
      <c r="N26" t="s">
        <v>410</v>
      </c>
    </row>
    <row r="27" spans="1:15" x14ac:dyDescent="0.2">
      <c r="A27" t="s">
        <v>411</v>
      </c>
      <c r="B27" t="s">
        <v>288</v>
      </c>
      <c r="C27" t="s">
        <v>412</v>
      </c>
      <c r="D27" t="s">
        <v>69</v>
      </c>
      <c r="F27" t="s">
        <v>413</v>
      </c>
      <c r="G27" t="s">
        <v>414</v>
      </c>
      <c r="H27" t="s">
        <v>70</v>
      </c>
      <c r="I27" t="s">
        <v>411</v>
      </c>
      <c r="J27">
        <v>52.2296756</v>
      </c>
      <c r="K27" t="s">
        <v>69</v>
      </c>
      <c r="L27" t="s">
        <v>293</v>
      </c>
      <c r="M27">
        <v>21.012228700000001</v>
      </c>
      <c r="N27" t="s">
        <v>415</v>
      </c>
      <c r="O27">
        <v>3</v>
      </c>
    </row>
  </sheetData>
  <pageMargins left="0.7" right="0.7" top="0.75" bottom="0.75" header="0.3" footer="0.3"/>
  <customProperties>
    <customPr name="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VBASamples</vt:lpstr>
      <vt:lpstr>ComboRanges</vt:lpstr>
      <vt:lpstr>Europe</vt:lpstr>
      <vt:lpstr>Languages</vt:lpstr>
      <vt:lpstr>Positions</vt:lpstr>
      <vt:lpstr>Regions</vt:lpstr>
      <vt:lpstr>TrueFalse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momo</dc:creator>
  <cp:lastModifiedBy>Maurice Calvert</cp:lastModifiedBy>
  <dcterms:created xsi:type="dcterms:W3CDTF">2011-07-19T05:36:40Z</dcterms:created>
  <dcterms:modified xsi:type="dcterms:W3CDTF">2024-05-30T07:48:53Z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ocodes">
    <vt:i4>1</vt:i4>
  </property>
  <property fmtid="{D5CDD505-2E9C-101B-9397-08002B2CF9AE}" pid="3" name="Geodesix">
    <vt:lpwstr>5e3311da-6989-433a-a568-9e2024a75051</vt:lpwstr>
  </property>
  <property fmtid="{D5CDD505-2E9C-101B-9397-08002B2CF9AE}" pid="4" name="Guid">
    <vt:lpwstr>0b57351a-6de9-415b-a400-36bf91010569</vt:lpwstr>
  </property>
</Properties>
</file>