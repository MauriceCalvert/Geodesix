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Geodesix 4.2.2\Geodesix\help\"/>
    </mc:Choice>
  </mc:AlternateContent>
  <xr:revisionPtr revIDLastSave="0" documentId="13_ncr:1_{E58F9021-01EF-493A-A62C-48D8A4DD9A95}" xr6:coauthVersionLast="47" xr6:coauthVersionMax="47" xr10:uidLastSave="{00000000-0000-0000-0000-000000000000}"/>
  <bookViews>
    <workbookView xWindow="38280" yWindow="-120" windowWidth="25440" windowHeight="15540" xr2:uid="{00000000-000D-0000-FFFF-FFFF00000000}"/>
  </bookViews>
  <sheets>
    <sheet name="EEC" sheetId="1" r:id="rId1"/>
    <sheet name="$GeoCache$" sheetId="2" state="veryHidden" r:id="rId2"/>
  </sheets>
  <functionGroups builtInGroupCount="19"/>
  <calcPr calcId="181029"/>
</workbook>
</file>

<file path=xl/calcChain.xml><?xml version="1.0" encoding="utf-8"?>
<calcChain xmlns="http://schemas.openxmlformats.org/spreadsheetml/2006/main">
  <c r="A27" i="1" l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E3" i="1"/>
  <c r="E9" i="1"/>
  <c r="E11" i="1"/>
  <c r="E13" i="1"/>
  <c r="E15" i="1"/>
  <c r="E17" i="1"/>
  <c r="E4" i="1"/>
  <c r="E22" i="1"/>
  <c r="E26" i="1"/>
  <c r="E5" i="1"/>
  <c r="E19" i="1"/>
  <c r="E23" i="1"/>
  <c r="E6" i="1"/>
  <c r="E10" i="1"/>
  <c r="E12" i="1"/>
  <c r="E14" i="1"/>
  <c r="E18" i="1"/>
  <c r="E21" i="1"/>
  <c r="E25" i="1"/>
  <c r="E7" i="1"/>
  <c r="E16" i="1"/>
  <c r="E27" i="1"/>
  <c r="E8" i="1"/>
  <c r="E20" i="1"/>
  <c r="E24" i="1"/>
  <c r="E2" i="1"/>
  <c r="B21" i="1"/>
  <c r="B16" i="1"/>
  <c r="B6" i="1"/>
  <c r="C16" i="1"/>
  <c r="B15" i="1"/>
  <c r="C6" i="1"/>
  <c r="C15" i="1"/>
  <c r="C19" i="1"/>
  <c r="C8" i="1"/>
  <c r="C25" i="1"/>
  <c r="C2" i="1"/>
  <c r="B14" i="1"/>
  <c r="B27" i="1"/>
  <c r="C12" i="1"/>
  <c r="C18" i="1"/>
  <c r="C22" i="1"/>
  <c r="B20" i="1"/>
  <c r="B7" i="1"/>
  <c r="B18" i="1"/>
  <c r="C23" i="1"/>
  <c r="B3" i="1"/>
  <c r="C3" i="1"/>
  <c r="B4" i="1"/>
  <c r="B25" i="1"/>
  <c r="B22" i="1"/>
  <c r="B17" i="1"/>
  <c r="B23" i="1"/>
  <c r="B10" i="1"/>
  <c r="C5" i="1"/>
  <c r="C21" i="1"/>
  <c r="B12" i="1"/>
  <c r="C20" i="1"/>
  <c r="C7" i="1"/>
  <c r="B8" i="1"/>
  <c r="B9" i="1"/>
  <c r="B5" i="1"/>
  <c r="C9" i="1"/>
  <c r="B2" i="1"/>
  <c r="C17" i="1"/>
  <c r="B19" i="1"/>
  <c r="B24" i="1"/>
  <c r="C4" i="1"/>
  <c r="C24" i="1"/>
  <c r="B26" i="1"/>
  <c r="C10" i="1"/>
  <c r="C26" i="1"/>
  <c r="B11" i="1"/>
  <c r="C11" i="1"/>
  <c r="B13" i="1"/>
  <c r="C27" i="1"/>
  <c r="C13" i="1"/>
  <c r="C14" i="1"/>
</calcChain>
</file>

<file path=xl/sharedStrings.xml><?xml version="1.0" encoding="utf-8"?>
<sst xmlns="http://schemas.openxmlformats.org/spreadsheetml/2006/main" count="521" uniqueCount="354">
  <si>
    <t>status</t>
  </si>
  <si>
    <t>latitude</t>
  </si>
  <si>
    <t>longitude</t>
  </si>
  <si>
    <t>title</t>
  </si>
  <si>
    <t>icon</t>
  </si>
  <si>
    <t>State</t>
  </si>
  <si>
    <t>Capital</t>
  </si>
  <si>
    <t>Joined</t>
  </si>
  <si>
    <t>Population</t>
  </si>
  <si>
    <t>km²</t>
  </si>
  <si>
    <t>GDP</t>
  </si>
  <si>
    <t>Currency</t>
  </si>
  <si>
    <t>Austria</t>
  </si>
  <si>
    <t>Vienna</t>
  </si>
  <si>
    <t>Republik Österreich</t>
  </si>
  <si>
    <t>8,372,930</t>
  </si>
  <si>
    <t>83,871</t>
  </si>
  <si>
    <t>38,838</t>
  </si>
  <si>
    <t>Euro</t>
  </si>
  <si>
    <t>Belgium</t>
  </si>
  <si>
    <t>Brussels</t>
  </si>
  <si>
    <t>Koninkrijk België</t>
  </si>
  <si>
    <t>Founder</t>
  </si>
  <si>
    <t>10,827,519</t>
  </si>
  <si>
    <t>30,528</t>
  </si>
  <si>
    <t>35,421</t>
  </si>
  <si>
    <t>Bulgaria</t>
  </si>
  <si>
    <t>Sofia</t>
  </si>
  <si>
    <t>Република България</t>
  </si>
  <si>
    <t>7,576,751</t>
  </si>
  <si>
    <t>110,910</t>
  </si>
  <si>
    <t>11,900</t>
  </si>
  <si>
    <t>Bulgarian Lev</t>
  </si>
  <si>
    <t>Cyprus</t>
  </si>
  <si>
    <t>Nicosia</t>
  </si>
  <si>
    <t>Κυπριακή Δημοκρατία</t>
  </si>
  <si>
    <t>801,851</t>
  </si>
  <si>
    <t>9,251</t>
  </si>
  <si>
    <t>28,544</t>
  </si>
  <si>
    <t>Czech Republic</t>
  </si>
  <si>
    <t>Prague</t>
  </si>
  <si>
    <t>Česká republika</t>
  </si>
  <si>
    <t>10,512,397</t>
  </si>
  <si>
    <t>78,866</t>
  </si>
  <si>
    <t>24,093</t>
  </si>
  <si>
    <t>Czech koruna</t>
  </si>
  <si>
    <t>Denmark</t>
  </si>
  <si>
    <t>Copenhagen</t>
  </si>
  <si>
    <t>Kongeriget Danmark</t>
  </si>
  <si>
    <t>5,547,088</t>
  </si>
  <si>
    <t>43,094</t>
  </si>
  <si>
    <t>35,757</t>
  </si>
  <si>
    <t>Danish krone</t>
  </si>
  <si>
    <t>Estonia</t>
  </si>
  <si>
    <t>Tallinn</t>
  </si>
  <si>
    <t>Eesti Vabariik</t>
  </si>
  <si>
    <t>1,340,274</t>
  </si>
  <si>
    <t>45,226</t>
  </si>
  <si>
    <t>17,908</t>
  </si>
  <si>
    <t>Finland</t>
  </si>
  <si>
    <t>Helsinki</t>
  </si>
  <si>
    <t>Suomen tasavalta</t>
  </si>
  <si>
    <t>5,350,475</t>
  </si>
  <si>
    <t>338,145</t>
  </si>
  <si>
    <t>33,555</t>
  </si>
  <si>
    <t>France</t>
  </si>
  <si>
    <t>Paris</t>
  </si>
  <si>
    <t>République française</t>
  </si>
  <si>
    <t>64,709,480</t>
  </si>
  <si>
    <t>674,843</t>
  </si>
  <si>
    <t>33,678</t>
  </si>
  <si>
    <t>Germany</t>
  </si>
  <si>
    <t>Berlin</t>
  </si>
  <si>
    <t>Bundesrepublik Deutschland</t>
  </si>
  <si>
    <t>81,757,595</t>
  </si>
  <si>
    <t>357,050</t>
  </si>
  <si>
    <t>34,212</t>
  </si>
  <si>
    <t>Greece</t>
  </si>
  <si>
    <t>Athens</t>
  </si>
  <si>
    <t>Ελληνική Δημοκρατία</t>
  </si>
  <si>
    <t>11,125,179</t>
  </si>
  <si>
    <t>131,990</t>
  </si>
  <si>
    <t>29,881</t>
  </si>
  <si>
    <t>Hungary</t>
  </si>
  <si>
    <t>Budapest</t>
  </si>
  <si>
    <t>Magyar Köztársaság</t>
  </si>
  <si>
    <t>10,013,628</t>
  </si>
  <si>
    <t>93,030</t>
  </si>
  <si>
    <t>18,566</t>
  </si>
  <si>
    <t>Hungarian forint</t>
  </si>
  <si>
    <t>Ireland</t>
  </si>
  <si>
    <t>Dublin</t>
  </si>
  <si>
    <t>Éire</t>
  </si>
  <si>
    <t>4,467,854</t>
  </si>
  <si>
    <t>70,273</t>
  </si>
  <si>
    <t>39,468</t>
  </si>
  <si>
    <t>Italy</t>
  </si>
  <si>
    <t>Rome</t>
  </si>
  <si>
    <t>Repubblica italiana</t>
  </si>
  <si>
    <t>60,397,353</t>
  </si>
  <si>
    <t>301,318</t>
  </si>
  <si>
    <t>29,109</t>
  </si>
  <si>
    <t>Latvia</t>
  </si>
  <si>
    <t>Riga</t>
  </si>
  <si>
    <t>Latvijas Republika</t>
  </si>
  <si>
    <t>2,248,961</t>
  </si>
  <si>
    <t>64,589</t>
  </si>
  <si>
    <t>14,254</t>
  </si>
  <si>
    <t>Latvian lats</t>
  </si>
  <si>
    <t>Lithuania</t>
  </si>
  <si>
    <t>Vilnius</t>
  </si>
  <si>
    <t>Lietuvos Respublika</t>
  </si>
  <si>
    <t>3,329,227</t>
  </si>
  <si>
    <t>65,303</t>
  </si>
  <si>
    <t>16,542</t>
  </si>
  <si>
    <t>Lithuanian litas</t>
  </si>
  <si>
    <t>Luxembourg</t>
  </si>
  <si>
    <t>Grand-Duché de Luxembourg</t>
  </si>
  <si>
    <t>502,207</t>
  </si>
  <si>
    <t>2,586</t>
  </si>
  <si>
    <t>78,395</t>
  </si>
  <si>
    <t>Malta</t>
  </si>
  <si>
    <t>Valletta</t>
  </si>
  <si>
    <t>416,333</t>
  </si>
  <si>
    <t>23,583</t>
  </si>
  <si>
    <t>Netherlands</t>
  </si>
  <si>
    <t>Amsterdam</t>
  </si>
  <si>
    <t>Koninkrijk der Nederlanden</t>
  </si>
  <si>
    <t>16,576,800</t>
  </si>
  <si>
    <t>41,526</t>
  </si>
  <si>
    <t>39,937</t>
  </si>
  <si>
    <t>Poland</t>
  </si>
  <si>
    <t>Warsaw</t>
  </si>
  <si>
    <t>Rzeczpospolita Polska</t>
  </si>
  <si>
    <t>38,163,895</t>
  </si>
  <si>
    <t>312,683</t>
  </si>
  <si>
    <t>18,072</t>
  </si>
  <si>
    <t>Polish złoty</t>
  </si>
  <si>
    <t>Portugal</t>
  </si>
  <si>
    <t>Lisbon</t>
  </si>
  <si>
    <t>República Portuguesa</t>
  </si>
  <si>
    <t>11,317,192</t>
  </si>
  <si>
    <t>92,391</t>
  </si>
  <si>
    <t>21,858</t>
  </si>
  <si>
    <t>Romania</t>
  </si>
  <si>
    <t>Bucharest</t>
  </si>
  <si>
    <t>România</t>
  </si>
  <si>
    <t>21,466,174</t>
  </si>
  <si>
    <t>238,391</t>
  </si>
  <si>
    <t>11,917</t>
  </si>
  <si>
    <t>Romanian leu</t>
  </si>
  <si>
    <t>Slovakia</t>
  </si>
  <si>
    <t>Bratislava</t>
  </si>
  <si>
    <t>Slovenská republika</t>
  </si>
  <si>
    <t>5,424,057</t>
  </si>
  <si>
    <t>49,037</t>
  </si>
  <si>
    <t>21,244</t>
  </si>
  <si>
    <t>Slovenia</t>
  </si>
  <si>
    <t>Ljubljana</t>
  </si>
  <si>
    <t>Republika Slovenija</t>
  </si>
  <si>
    <t>2,054,119</t>
  </si>
  <si>
    <t>20,273</t>
  </si>
  <si>
    <t>27,654</t>
  </si>
  <si>
    <t>Spain</t>
  </si>
  <si>
    <t>Madrid</t>
  </si>
  <si>
    <t>Reino de España</t>
  </si>
  <si>
    <t>46,087,170</t>
  </si>
  <si>
    <t>506,030</t>
  </si>
  <si>
    <t>31,963</t>
  </si>
  <si>
    <t>Sweden</t>
  </si>
  <si>
    <t>Stockholm</t>
  </si>
  <si>
    <t>Konungariket Sverige</t>
  </si>
  <si>
    <t>9,347,899</t>
  </si>
  <si>
    <t>449,964</t>
  </si>
  <si>
    <t>35,964</t>
  </si>
  <si>
    <t>Swedish krona</t>
  </si>
  <si>
    <t>United Kingdom</t>
  </si>
  <si>
    <t>London</t>
  </si>
  <si>
    <t>coordinates</t>
  </si>
  <si>
    <t>formatted_address</t>
  </si>
  <si>
    <t>country political</t>
  </si>
  <si>
    <t>administrative_area_level_1 political</t>
  </si>
  <si>
    <t>administrative_area_level_2 political</t>
  </si>
  <si>
    <t>administrative_area_level_3 political</t>
  </si>
  <si>
    <t>locality political</t>
  </si>
  <si>
    <t>location_type</t>
  </si>
  <si>
    <t>postal_town</t>
  </si>
  <si>
    <t>Vienna, Austria</t>
  </si>
  <si>
    <t>OK</t>
  </si>
  <si>
    <t>APPROXIMATE</t>
  </si>
  <si>
    <t>Brussels, Belgium</t>
  </si>
  <si>
    <t>Bruxelles</t>
  </si>
  <si>
    <t>50.8503396,4.3517103</t>
  </si>
  <si>
    <t>Sofia, Bulgaria</t>
  </si>
  <si>
    <t>Nicosia, Cyprus</t>
  </si>
  <si>
    <t>Prague, Czech Republic</t>
  </si>
  <si>
    <t>Copenhagen, Denmark</t>
  </si>
  <si>
    <t>Tallinn, Estonia</t>
  </si>
  <si>
    <t>Helsinki, Finland</t>
  </si>
  <si>
    <t>Uusimaa</t>
  </si>
  <si>
    <t>Paris, France</t>
  </si>
  <si>
    <t>Berlin, Germany</t>
  </si>
  <si>
    <t>Athens, Greece</t>
  </si>
  <si>
    <t>Budapest, Hungary</t>
  </si>
  <si>
    <t>Dublin, Ireland</t>
  </si>
  <si>
    <t>Rome, Italy</t>
  </si>
  <si>
    <t>Lazio</t>
  </si>
  <si>
    <t>Riga, Latvia</t>
  </si>
  <si>
    <t>Vilnius, Lithuania</t>
  </si>
  <si>
    <t>Luxembourg, Luxembourg</t>
  </si>
  <si>
    <t>Valletta, Malta</t>
  </si>
  <si>
    <t>Amsterdam, Netherlands</t>
  </si>
  <si>
    <t>Warsaw, Poland</t>
  </si>
  <si>
    <t>Lisbon, Portugal</t>
  </si>
  <si>
    <t>Bucharest, Romania</t>
  </si>
  <si>
    <t>Bratislava, Slovakia</t>
  </si>
  <si>
    <t>Ljubljana, Slovenia</t>
  </si>
  <si>
    <t>Madrid, Spain</t>
  </si>
  <si>
    <t>Community of Madrid</t>
  </si>
  <si>
    <t>Stockholm, Sweden</t>
  </si>
  <si>
    <t>London, United Kingdom</t>
  </si>
  <si>
    <t>Greater London</t>
  </si>
  <si>
    <t>England</t>
  </si>
  <si>
    <t>city</t>
  </si>
  <si>
    <t>boundsne</t>
  </si>
  <si>
    <t>boundssw</t>
  </si>
  <si>
    <t>place_id</t>
  </si>
  <si>
    <t>postal_code postal_code_prefix</t>
  </si>
  <si>
    <t>North Holland</t>
  </si>
  <si>
    <t>Government of Amsterdam</t>
  </si>
  <si>
    <t>52.4311573,5.0791619</t>
  </si>
  <si>
    <t>52.278174,4.7287589</t>
  </si>
  <si>
    <t>ChIJVXealLU_xkcRja_At0z9AGY</t>
  </si>
  <si>
    <t>Central Athens Regional Unit</t>
  </si>
  <si>
    <t>38.0328563,23.7896925</t>
  </si>
  <si>
    <t>37.9488181,23.6869862</t>
  </si>
  <si>
    <t>ChIJ8UNwBh-9oRQR3Y1mdkU1Nic</t>
  </si>
  <si>
    <t>Kreisfreie Stadt Berlin</t>
  </si>
  <si>
    <t>52.6754542,13.7611175</t>
  </si>
  <si>
    <t>52.338234,13.088346</t>
  </si>
  <si>
    <t>ChIJAVkDPzdOqEcRcDteW0YgIQQ</t>
  </si>
  <si>
    <t>Bratislava Region</t>
  </si>
  <si>
    <t>48.2650461,17.2856594</t>
  </si>
  <si>
    <t>48.0065146,16.9461747</t>
  </si>
  <si>
    <t>ChIJl2HKCjaJbEcRaEOI_YKbH2M</t>
  </si>
  <si>
    <t>44.541407,26.225575</t>
  </si>
  <si>
    <t>44.3342445,25.9637001</t>
  </si>
  <si>
    <t>ChIJT608vzr5sUARKKacfOMyBqw</t>
  </si>
  <si>
    <t>47.6130119,19.3345049</t>
  </si>
  <si>
    <t>47.349415,18.9261011</t>
  </si>
  <si>
    <t>ChIJyc_U0TTDQUcRYBEeDCnEAAQ</t>
  </si>
  <si>
    <t>55.7270937,12.7342654</t>
  </si>
  <si>
    <t>55.615441,12.4533824</t>
  </si>
  <si>
    <t>ChIJIz2AXDxTUkYRuGeU5t1-3QQ</t>
  </si>
  <si>
    <t>County Dublin</t>
  </si>
  <si>
    <t>53.4252101,-6.0439235</t>
  </si>
  <si>
    <t>53.2234301,-6.4474847</t>
  </si>
  <si>
    <t>ChIJL6wn6oAOZ0gRoHExl6nHAAo</t>
  </si>
  <si>
    <t>60.2978389,25.2544849</t>
  </si>
  <si>
    <t>59.9224887,24.7828758</t>
  </si>
  <si>
    <t>ChIJkQYhlscLkkYRY_fiO4S9Ts0</t>
  </si>
  <si>
    <t>38.7967595,-9.089636</t>
  </si>
  <si>
    <t>38.6913994,-9.2298356</t>
  </si>
  <si>
    <t>ChIJO_PkYRozGQ0R0DaQ5L3rAAQ</t>
  </si>
  <si>
    <t>46.1422017,14.6446963</t>
  </si>
  <si>
    <t>45.990033,14.4195019</t>
  </si>
  <si>
    <t>ChIJ0YaYlvUxZUcRIOw_ghz4AAQ</t>
  </si>
  <si>
    <t>51.6723432,0.148271</t>
  </si>
  <si>
    <t>51.3849401,-0.3514683</t>
  </si>
  <si>
    <t>London, UK</t>
  </si>
  <si>
    <t>ChIJdd4hrwug2EcRmSrV3Vo6llI</t>
  </si>
  <si>
    <t>50.18282,6.5309701</t>
  </si>
  <si>
    <t>49.447879,5.7356699</t>
  </si>
  <si>
    <t>ChIJRyEhyrlFlUcR75LTAvZg22Q</t>
  </si>
  <si>
    <t>40.5638447,-3.5249115</t>
  </si>
  <si>
    <t>40.3120639,-3.8341618</t>
  </si>
  <si>
    <t>ChIJgTwKgJcpQg0RaSKMYcHeNsQ</t>
  </si>
  <si>
    <t>35.2323172,33.4762967</t>
  </si>
  <si>
    <t>35.1521879,33.3185077</t>
  </si>
  <si>
    <t>ChIJVU1JymcX3hQRpcARA5ykXls</t>
  </si>
  <si>
    <t>Île-de-France</t>
  </si>
  <si>
    <t>48.9021475,2.4698509</t>
  </si>
  <si>
    <t>48.8155622,2.2242191</t>
  </si>
  <si>
    <t>ChIJD7fiBh9u5kcRYJSMaMOCCwQ</t>
  </si>
  <si>
    <t>Hlavní město Praha</t>
  </si>
  <si>
    <t>50.177403,14.7067945</t>
  </si>
  <si>
    <t>49.9419363,14.2244533</t>
  </si>
  <si>
    <t>Czechia</t>
  </si>
  <si>
    <t>Prague, Czechia</t>
  </si>
  <si>
    <t>ChIJi3lwCZyTC0cRkEAWZg-vAAQ</t>
  </si>
  <si>
    <t>57.0861688,24.3245043</t>
  </si>
  <si>
    <t>56.8573462,23.9336426</t>
  </si>
  <si>
    <t>ChIJ7T0H5bDP7kYRMP7yaM3PAAQ</t>
  </si>
  <si>
    <t>Metropolitan City of Rome Capital</t>
  </si>
  <si>
    <t>42.0505462,12.7302888</t>
  </si>
  <si>
    <t>41.769596,12.341707</t>
  </si>
  <si>
    <t>Rome, Metropolitan City of Rome Capital, Italy</t>
  </si>
  <si>
    <t>ChIJu46S-ZZhLxMROG5lkwZ3D7k</t>
  </si>
  <si>
    <t>Sofia City Province</t>
  </si>
  <si>
    <t>42.7877752,23.4569049</t>
  </si>
  <si>
    <t>42.6030891,23.1909885</t>
  </si>
  <si>
    <t>ChIJ9Xsxy4KGqkARYF6_aRKgAAQ</t>
  </si>
  <si>
    <t>Stockholm County</t>
  </si>
  <si>
    <t>59.4278409,18.198229</t>
  </si>
  <si>
    <t>59.224443,17.765876</t>
  </si>
  <si>
    <t>ChIJywtkGTF2X0YRZnedZ9MnDag</t>
  </si>
  <si>
    <t>Harju County</t>
  </si>
  <si>
    <t>59.591577,24.9262838</t>
  </si>
  <si>
    <t>59.3518008,24.5501939</t>
  </si>
  <si>
    <t>ChIJvxZW35mUkkYRcGL8GG2zAAQ</t>
  </si>
  <si>
    <t>35.9036855,14.5204815</t>
  </si>
  <si>
    <t>35.8932353,14.5053349</t>
  </si>
  <si>
    <t>ChIJxUeGHShFDhMRF8lC4o7TWnQ</t>
  </si>
  <si>
    <t>48.322563,16.5774545</t>
  </si>
  <si>
    <t>48.1179032,16.1818304</t>
  </si>
  <si>
    <t>ChIJn8o2UZ4HbUcRRluiUYrlwv0</t>
  </si>
  <si>
    <t>Vilnius County</t>
  </si>
  <si>
    <t>Vilnius City Municipality</t>
  </si>
  <si>
    <t>54.832544,25.4814883</t>
  </si>
  <si>
    <t>54.5688249,25.0245791</t>
  </si>
  <si>
    <t>Vilnius, Vilnius City Municipality, Lithuania</t>
  </si>
  <si>
    <t>ChIJ9QhkXPuT3UYRQNzpcIzRAAQ</t>
  </si>
  <si>
    <t>Masovian Voivodeship</t>
  </si>
  <si>
    <t>52.3681538,21.2711512</t>
  </si>
  <si>
    <t>52.0978499,20.8516883</t>
  </si>
  <si>
    <t>ChIJAZ-GmmbMHkcR_NPqiCq-8HI</t>
  </si>
  <si>
    <t>Repubblika ta Malta</t>
  </si>
  <si>
    <t>Name</t>
  </si>
  <si>
    <t>http://upload.wikimedia.org/wikipedia/commons/4/41/Flag_of_Austria.svg</t>
  </si>
  <si>
    <t>http://upload.wikimedia.org/wikipedia/commons/9/92/Flag_of_Belgium_%28civil%29.svg</t>
  </si>
  <si>
    <t>http://upload.wikimedia.org/wikipedia/commons/9/9a/Flag_of_Bulgaria.svg</t>
  </si>
  <si>
    <t>http://upload.wikimedia.org/wikipedia/commons/d/d4/Flag_of_Cyprus.svg</t>
  </si>
  <si>
    <t>http://upload.wikimedia.org/wikipedia/commons/c/cb/Flag_of_the_Czech_Republic.svg</t>
  </si>
  <si>
    <t>http://upload.wikimedia.org/wikipedia/commons/9/9c/Flag_of_Denmark.svg</t>
  </si>
  <si>
    <t>http://upload.wikimedia.org/wikipedia/commons/8/8f/Flag_of_Estonia.svg</t>
  </si>
  <si>
    <t>http://upload.wikimedia.org/wikipedia/commons/b/bc/Flag_of_Finland.svg</t>
  </si>
  <si>
    <t>http://upload.wikimedia.org/wikipedia/commons/c/c3/Flag_of_France.svg</t>
  </si>
  <si>
    <t>http://upload.wikimedia.org/wikipedia/commons/b/ba/Flag_of_Germany.svg</t>
  </si>
  <si>
    <t>http://upload.wikimedia.org/wikipedia/commons/5/5c/Flag_of_Greece.svg</t>
  </si>
  <si>
    <t>http://upload.wikimedia.org/wikipedia/commons/c/c1/Flag_of_Hungary.svg</t>
  </si>
  <si>
    <t>http://upload.wikimedia.org/wikipedia/commons/4/45/Flag_of_Ireland.svg</t>
  </si>
  <si>
    <t>http://upload.wikimedia.org/wikipedia/commons/0/03/Flag_of_Italy.svg</t>
  </si>
  <si>
    <t>http://upload.wikimedia.org/wikipedia/commons/8/84/Flag_of_Latvia.svg</t>
  </si>
  <si>
    <t>http://upload.wikimedia.org/wikipedia/commons/1/11/Flag_of_Lithuania.svg</t>
  </si>
  <si>
    <t>http://upload.wikimedia.org/wikipedia/commons/d/da/Flag_of_Luxembourg.svg</t>
  </si>
  <si>
    <t>http://upload.wikimedia.org/wikipedia/commons/7/73/Flag_of_Malta.svg</t>
  </si>
  <si>
    <t>http://upload.wikimedia.org/wikipedia/commons/2/20/Flag_of_the_Netherlands.svg</t>
  </si>
  <si>
    <t>http://upload.wikimedia.org/wikipedia/commons/1/12/Flag_of_Poland.svg</t>
  </si>
  <si>
    <t>http://upload.wikimedia.org/wikipedia/commons/5/5c/Flag_of_Portugal.svg</t>
  </si>
  <si>
    <t>http://upload.wikimedia.org/wikipedia/commons/7/73/Flag_of_Romania.svg</t>
  </si>
  <si>
    <t>http://upload.wikimedia.org/wikipedia/commons/e/e6/Flag_of_Slovakia.svg</t>
  </si>
  <si>
    <t>http://upload.wikimedia.org/wikipedia/commons/f/f0/Flag_of_Slovenia.svg</t>
  </si>
  <si>
    <t>http://upload.wikimedia.org/wikipedia/commons/9/9a/Flag_of_Spain.svg</t>
  </si>
  <si>
    <t>http://upload.wikimedia.org/wikipedia/commons/4/4c/Flag_of_Sweden.svg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</si>
</sst>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</font>
    <font>
      <u/>
      <sz val="10"/>
      <color theme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5" fillId="0" borderId="0" xfId="1" applyFont="1"/>
    <xf numFmtId="0" fontId="3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upload.wikimedia.org/wikipedia/commons/b/bc/Flag_of_Finland.svg" TargetMode="External"/><Relationship Id="rId13" Type="http://schemas.openxmlformats.org/officeDocument/2006/relationships/hyperlink" Target="http://upload.wikimedia.org/wikipedia/commons/4/45/Flag_of_Ireland.svg" TargetMode="External"/><Relationship Id="rId18" Type="http://schemas.openxmlformats.org/officeDocument/2006/relationships/hyperlink" Target="http://upload.wikimedia.org/wikipedia/commons/7/73/Flag_of_Malta.svg" TargetMode="External"/><Relationship Id="rId26" Type="http://schemas.openxmlformats.org/officeDocument/2006/relationships/hyperlink" Target="http://upload.wikimedia.org/wikipedia/commons/4/4c/Flag_of_Sweden.svg" TargetMode="External"/><Relationship Id="rId3" Type="http://schemas.openxmlformats.org/officeDocument/2006/relationships/hyperlink" Target="http://upload.wikimedia.org/wikipedia/commons/9/9a/Flag_of_Bulgaria.svg" TargetMode="External"/><Relationship Id="rId21" Type="http://schemas.openxmlformats.org/officeDocument/2006/relationships/hyperlink" Target="http://upload.wikimedia.org/wikipedia/commons/5/5c/Flag_of_Portugal.svg" TargetMode="External"/><Relationship Id="rId7" Type="http://schemas.openxmlformats.org/officeDocument/2006/relationships/hyperlink" Target="http://upload.wikimedia.org/wikipedia/commons/8/8f/Flag_of_Estonia.svg" TargetMode="External"/><Relationship Id="rId12" Type="http://schemas.openxmlformats.org/officeDocument/2006/relationships/hyperlink" Target="http://upload.wikimedia.org/wikipedia/commons/c/c1/Flag_of_Hungary.svg" TargetMode="External"/><Relationship Id="rId17" Type="http://schemas.openxmlformats.org/officeDocument/2006/relationships/hyperlink" Target="http://upload.wikimedia.org/wikipedia/commons/d/da/Flag_of_Luxembourg.svg" TargetMode="External"/><Relationship Id="rId25" Type="http://schemas.openxmlformats.org/officeDocument/2006/relationships/hyperlink" Target="http://upload.wikimedia.org/wikipedia/commons/9/9a/Flag_of_Spain.svg" TargetMode="External"/><Relationship Id="rId2" Type="http://schemas.openxmlformats.org/officeDocument/2006/relationships/hyperlink" Target="http://upload.wikimedia.org/wikipedia/commons/9/92/Flag_of_Belgium_%28civil%29.svg" TargetMode="External"/><Relationship Id="rId16" Type="http://schemas.openxmlformats.org/officeDocument/2006/relationships/hyperlink" Target="http://upload.wikimedia.org/wikipedia/commons/1/11/Flag_of_Lithuania.svg" TargetMode="External"/><Relationship Id="rId20" Type="http://schemas.openxmlformats.org/officeDocument/2006/relationships/hyperlink" Target="http://upload.wikimedia.org/wikipedia/commons/1/12/Flag_of_Poland.svg" TargetMode="External"/><Relationship Id="rId29" Type="http://schemas.openxmlformats.org/officeDocument/2006/relationships/customProperty" Target="../customProperty2.bin"/><Relationship Id="rId1" Type="http://schemas.openxmlformats.org/officeDocument/2006/relationships/hyperlink" Target="http://upload.wikimedia.org/wikipedia/commons/4/41/Flag_of_Austria.svg" TargetMode="External"/><Relationship Id="rId6" Type="http://schemas.openxmlformats.org/officeDocument/2006/relationships/hyperlink" Target="http://upload.wikimedia.org/wikipedia/commons/9/9c/Flag_of_Denmark.svg" TargetMode="External"/><Relationship Id="rId11" Type="http://schemas.openxmlformats.org/officeDocument/2006/relationships/hyperlink" Target="http://upload.wikimedia.org/wikipedia/commons/5/5c/Flag_of_Greece.svg" TargetMode="External"/><Relationship Id="rId24" Type="http://schemas.openxmlformats.org/officeDocument/2006/relationships/hyperlink" Target="http://upload.wikimedia.org/wikipedia/commons/f/f0/Flag_of_Slovenia.svg" TargetMode="External"/><Relationship Id="rId32" Type="http://schemas.openxmlformats.org/officeDocument/2006/relationships/customProperty" Target="../customProperty5.bin"/><Relationship Id="rId5" Type="http://schemas.openxmlformats.org/officeDocument/2006/relationships/hyperlink" Target="http://upload.wikimedia.org/wikipedia/commons/c/cb/Flag_of_the_Czech_Republic.svg" TargetMode="External"/><Relationship Id="rId15" Type="http://schemas.openxmlformats.org/officeDocument/2006/relationships/hyperlink" Target="http://upload.wikimedia.org/wikipedia/commons/8/84/Flag_of_Latvia.svg" TargetMode="External"/><Relationship Id="rId23" Type="http://schemas.openxmlformats.org/officeDocument/2006/relationships/hyperlink" Target="http://upload.wikimedia.org/wikipedia/commons/e/e6/Flag_of_Slovakia.svg" TargetMode="External"/><Relationship Id="rId28" Type="http://schemas.openxmlformats.org/officeDocument/2006/relationships/customProperty" Target="../customProperty1.bin"/><Relationship Id="rId10" Type="http://schemas.openxmlformats.org/officeDocument/2006/relationships/hyperlink" Target="http://upload.wikimedia.org/wikipedia/commons/b/ba/Flag_of_Germany.svg" TargetMode="External"/><Relationship Id="rId19" Type="http://schemas.openxmlformats.org/officeDocument/2006/relationships/hyperlink" Target="http://upload.wikimedia.org/wikipedia/commons/2/20/Flag_of_the_Netherlands.svg" TargetMode="External"/><Relationship Id="rId31" Type="http://schemas.openxmlformats.org/officeDocument/2006/relationships/customProperty" Target="../customProperty4.bin"/><Relationship Id="rId4" Type="http://schemas.openxmlformats.org/officeDocument/2006/relationships/hyperlink" Target="http://upload.wikimedia.org/wikipedia/commons/d/d4/Flag_of_Cyprus.svg" TargetMode="External"/><Relationship Id="rId9" Type="http://schemas.openxmlformats.org/officeDocument/2006/relationships/hyperlink" Target="http://upload.wikimedia.org/wikipedia/commons/c/c3/Flag_of_France.svg" TargetMode="External"/><Relationship Id="rId14" Type="http://schemas.openxmlformats.org/officeDocument/2006/relationships/hyperlink" Target="http://upload.wikimedia.org/wikipedia/commons/0/03/Flag_of_Italy.svg" TargetMode="External"/><Relationship Id="rId22" Type="http://schemas.openxmlformats.org/officeDocument/2006/relationships/hyperlink" Target="http://upload.wikimedia.org/wikipedia/commons/7/73/Flag_of_Romania.svg" TargetMode="External"/><Relationship Id="rId27" Type="http://schemas.openxmlformats.org/officeDocument/2006/relationships/printerSettings" Target="../printerSettings/printerSettings1.bin"/><Relationship Id="rId30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7"/>
  <sheetViews>
    <sheetView tabSelected="1" workbookViewId="0">
      <selection activeCell="H45" sqref="H45"/>
    </sheetView>
  </sheetViews>
  <sheetFormatPr defaultRowHeight="12.75" x14ac:dyDescent="0.2"/>
  <cols>
    <col min="1" max="1" width="22.85546875" style="2" bestFit="1" customWidth="1"/>
    <col min="2" max="3" width="11" style="2" bestFit="1" customWidth="1"/>
    <col min="4" max="4" width="12.140625" style="2" customWidth="1"/>
    <col min="5" max="5" width="9.140625" style="2"/>
    <col min="6" max="6" width="14.28515625" style="2" bestFit="1" customWidth="1"/>
    <col min="7" max="7" width="11.28515625" style="2" bestFit="1" customWidth="1"/>
    <col min="8" max="8" width="27.7109375" style="2" bestFit="1" customWidth="1"/>
    <col min="9" max="9" width="7.7109375" style="3" bestFit="1" customWidth="1"/>
    <col min="10" max="10" width="10.140625" style="3" bestFit="1" customWidth="1"/>
    <col min="11" max="11" width="7.5703125" style="3" bestFit="1" customWidth="1"/>
    <col min="12" max="12" width="6.5703125" style="3" bestFit="1" customWidth="1"/>
    <col min="13" max="13" width="8.7109375" style="2" customWidth="1"/>
    <col min="14" max="16384" width="9.140625" style="2"/>
  </cols>
  <sheetData>
    <row r="1" spans="1:13" s="1" customFormat="1" x14ac:dyDescent="0.2">
      <c r="A1" s="1" t="s">
        <v>223</v>
      </c>
      <c r="B1" s="1" t="s">
        <v>1</v>
      </c>
      <c r="C1" s="1" t="s">
        <v>2</v>
      </c>
      <c r="D1" s="1" t="s">
        <v>4</v>
      </c>
      <c r="E1" s="1" t="s">
        <v>3</v>
      </c>
      <c r="F1" s="1" t="s">
        <v>5</v>
      </c>
      <c r="G1" s="1" t="s">
        <v>6</v>
      </c>
      <c r="H1" s="1" t="s">
        <v>327</v>
      </c>
      <c r="I1" s="5" t="s">
        <v>7</v>
      </c>
      <c r="J1" s="5" t="s">
        <v>8</v>
      </c>
      <c r="K1" s="5" t="s">
        <v>9</v>
      </c>
      <c r="L1" s="5" t="s">
        <v>10</v>
      </c>
      <c r="M1" s="1" t="s">
        <v>11</v>
      </c>
    </row>
    <row r="2" spans="1:13" x14ac:dyDescent="0.2">
      <c r="A2" s="2" t="str">
        <f t="shared" ref="A2:A27" si="0">G2 &amp; ", " &amp; F2</f>
        <v>Vienna, Austria</v>
      </c>
      <c r="B2" s="2">
        <f>_xll.GeodesiX.UDF.Geocode(B$1,$A2)</f>
        <v>48.208069600000002</v>
      </c>
      <c r="C2" s="2">
        <f>_xll.GeodesiX.UDF.Geocode(C$1,$A2)</f>
        <v>16.371309499999999</v>
      </c>
      <c r="D2" s="4" t="s">
        <v>328</v>
      </c>
      <c r="E2" s="2" t="str">
        <f>htmltable($F$1:$M$1,F2:M2)</f>
        <v>&lt;table&gt;&lt;tr&gt;&lt;td align=right&gt;State&lt;/td&gt;&lt;td align=left&gt;Austria&lt;/tr&gt;&lt;tr&gt;&lt;td align=right&gt;Capital&lt;/td&gt;&lt;td align=left&gt;Vienna&lt;/tr&gt;&lt;tr&gt;&lt;td align=right&gt;Name&lt;/td&gt;&lt;td align=left&gt;Republik Österreich&lt;/tr&gt;&lt;tr&gt;&lt;td align=right&gt;Joined&lt;/td&gt;&lt;td align=left&gt;1995&lt;/tr&gt;&lt;tr&gt;&lt;td align=right&gt;Population&lt;/td&gt;&lt;td align=left&gt;8,372,930&lt;/tr&gt;&lt;tr&gt;&lt;td align=right&gt;km²&lt;/td&gt;&lt;td align=left&gt;83,871&lt;/tr&gt;&lt;tr&gt;&lt;td align=right&gt;GDP&lt;/td&gt;&lt;td align=left&gt;38,838&lt;/tr&gt;&lt;tr&gt;&lt;td align=right&gt;Currency&lt;/td&gt;&lt;td align=left&gt;Euro&lt;/tr&gt;&lt;/table&gt;</v>
      </c>
      <c r="F2" s="2" t="s">
        <v>12</v>
      </c>
      <c r="G2" s="2" t="s">
        <v>13</v>
      </c>
      <c r="H2" s="2" t="s">
        <v>14</v>
      </c>
      <c r="I2" s="3">
        <v>1995</v>
      </c>
      <c r="J2" s="3" t="s">
        <v>15</v>
      </c>
      <c r="K2" s="3" t="s">
        <v>16</v>
      </c>
      <c r="L2" s="3" t="s">
        <v>17</v>
      </c>
      <c r="M2" s="2" t="s">
        <v>18</v>
      </c>
    </row>
    <row r="3" spans="1:13" x14ac:dyDescent="0.2">
      <c r="A3" s="2" t="str">
        <f t="shared" si="0"/>
        <v>Brussels, Belgium</v>
      </c>
      <c r="B3" s="2">
        <f>_xll.GeodesiX.UDF.Geocode(B$1,$A3)</f>
        <v>50.850339599999998</v>
      </c>
      <c r="C3" s="2">
        <f>_xll.GeodesiX.UDF.Geocode(C$1,$A3)</f>
        <v>4.3517102999999997</v>
      </c>
      <c r="D3" s="4" t="s">
        <v>329</v>
      </c>
      <c r="E3" s="2" t="str">
        <f t="shared" ref="E3:E27" si="1">htmltable($F$1:$M$1,F3:M3)</f>
        <v>&lt;table&gt;&lt;tr&gt;&lt;td align=right&gt;State&lt;/td&gt;&lt;td align=left&gt;Belgium&lt;/tr&gt;&lt;tr&gt;&lt;td align=right&gt;Capital&lt;/td&gt;&lt;td align=left&gt;Brussels&lt;/tr&gt;&lt;tr&gt;&lt;td align=right&gt;Name&lt;/td&gt;&lt;td align=left&gt;Koninkrijk België&lt;/tr&gt;&lt;tr&gt;&lt;td align=right&gt;Joined&lt;/td&gt;&lt;td align=left&gt;Founder&lt;/tr&gt;&lt;tr&gt;&lt;td align=right&gt;Population&lt;/td&gt;&lt;td align=left&gt;10,827,519&lt;/tr&gt;&lt;tr&gt;&lt;td align=right&gt;km²&lt;/td&gt;&lt;td align=left&gt;30,528&lt;/tr&gt;&lt;tr&gt;&lt;td align=right&gt;GDP&lt;/td&gt;&lt;td align=left&gt;35,421&lt;/tr&gt;&lt;tr&gt;&lt;td align=right&gt;Currency&lt;/td&gt;&lt;td align=left&gt;Euro&lt;/tr&gt;&lt;/table&gt;</v>
      </c>
      <c r="F3" s="2" t="s">
        <v>19</v>
      </c>
      <c r="G3" s="2" t="s">
        <v>20</v>
      </c>
      <c r="H3" s="2" t="s">
        <v>21</v>
      </c>
      <c r="I3" s="3" t="s">
        <v>22</v>
      </c>
      <c r="J3" s="3" t="s">
        <v>23</v>
      </c>
      <c r="K3" s="3" t="s">
        <v>24</v>
      </c>
      <c r="L3" s="3" t="s">
        <v>25</v>
      </c>
      <c r="M3" s="2" t="s">
        <v>18</v>
      </c>
    </row>
    <row r="4" spans="1:13" x14ac:dyDescent="0.2">
      <c r="A4" s="2" t="str">
        <f t="shared" si="0"/>
        <v>Sofia, Bulgaria</v>
      </c>
      <c r="B4" s="2">
        <f>_xll.GeodesiX.UDF.Geocode(B$1,$A4)</f>
        <v>42.697708200000001</v>
      </c>
      <c r="C4" s="2">
        <f>_xll.GeodesiX.UDF.Geocode(C$1,$A4)</f>
        <v>23.3218675</v>
      </c>
      <c r="D4" s="4" t="s">
        <v>330</v>
      </c>
      <c r="E4" s="2" t="str">
        <f t="shared" si="1"/>
        <v>&lt;table&gt;&lt;tr&gt;&lt;td align=right&gt;State&lt;/td&gt;&lt;td align=left&gt;Bulgaria&lt;/tr&gt;&lt;tr&gt;&lt;td align=right&gt;Capital&lt;/td&gt;&lt;td align=left&gt;Sofia&lt;/tr&gt;&lt;tr&gt;&lt;td align=right&gt;Name&lt;/td&gt;&lt;td align=left&gt;Република България&lt;/tr&gt;&lt;tr&gt;&lt;td align=right&gt;Joined&lt;/td&gt;&lt;td align=left&gt;2007&lt;/tr&gt;&lt;tr&gt;&lt;td align=right&gt;Population&lt;/td&gt;&lt;td align=left&gt;7,576,751&lt;/tr&gt;&lt;tr&gt;&lt;td align=right&gt;km²&lt;/td&gt;&lt;td align=left&gt;110,910&lt;/tr&gt;&lt;tr&gt;&lt;td align=right&gt;GDP&lt;/td&gt;&lt;td align=left&gt;11,900&lt;/tr&gt;&lt;tr&gt;&lt;td align=right&gt;Currency&lt;/td&gt;&lt;td align=left&gt;Bulgarian Lev&lt;/tr&gt;&lt;/table&gt;</v>
      </c>
      <c r="F4" s="2" t="s">
        <v>26</v>
      </c>
      <c r="G4" s="2" t="s">
        <v>27</v>
      </c>
      <c r="H4" s="2" t="s">
        <v>28</v>
      </c>
      <c r="I4" s="3">
        <v>2007</v>
      </c>
      <c r="J4" s="3" t="s">
        <v>29</v>
      </c>
      <c r="K4" s="3" t="s">
        <v>30</v>
      </c>
      <c r="L4" s="3" t="s">
        <v>31</v>
      </c>
      <c r="M4" s="2" t="s">
        <v>32</v>
      </c>
    </row>
    <row r="5" spans="1:13" x14ac:dyDescent="0.2">
      <c r="A5" s="2" t="str">
        <f t="shared" si="0"/>
        <v>Nicosia, Cyprus</v>
      </c>
      <c r="B5" s="2">
        <f>_xll.GeodesiX.UDF.Geocode(B$1,$A5)</f>
        <v>35.1855659</v>
      </c>
      <c r="C5" s="2">
        <f>_xll.GeodesiX.UDF.Geocode(C$1,$A5)</f>
        <v>33.382276400000002</v>
      </c>
      <c r="D5" s="4" t="s">
        <v>331</v>
      </c>
      <c r="E5" s="2" t="str">
        <f t="shared" si="1"/>
        <v>&lt;table&gt;&lt;tr&gt;&lt;td align=right&gt;State&lt;/td&gt;&lt;td align=left&gt;Cyprus&lt;/tr&gt;&lt;tr&gt;&lt;td align=right&gt;Capital&lt;/td&gt;&lt;td align=left&gt;Nicosia&lt;/tr&gt;&lt;tr&gt;&lt;td align=right&gt;Name&lt;/td&gt;&lt;td align=left&gt;Κυπριακή Δημοκρατία&lt;/tr&gt;&lt;tr&gt;&lt;td align=right&gt;Joined&lt;/td&gt;&lt;td align=left&gt;2004&lt;/tr&gt;&lt;tr&gt;&lt;td align=right&gt;Population&lt;/td&gt;&lt;td align=left&gt;801,851&lt;/tr&gt;&lt;tr&gt;&lt;td align=right&gt;km²&lt;/td&gt;&lt;td align=left&gt;9,251&lt;/tr&gt;&lt;tr&gt;&lt;td align=right&gt;GDP&lt;/td&gt;&lt;td align=left&gt;28,544&lt;/tr&gt;&lt;tr&gt;&lt;td align=right&gt;Currency&lt;/td&gt;&lt;td align=left&gt;Euro&lt;/tr&gt;&lt;/table&gt;</v>
      </c>
      <c r="F5" s="2" t="s">
        <v>33</v>
      </c>
      <c r="G5" s="2" t="s">
        <v>34</v>
      </c>
      <c r="H5" s="2" t="s">
        <v>35</v>
      </c>
      <c r="I5" s="3">
        <v>2004</v>
      </c>
      <c r="J5" s="3" t="s">
        <v>36</v>
      </c>
      <c r="K5" s="3" t="s">
        <v>37</v>
      </c>
      <c r="L5" s="3" t="s">
        <v>38</v>
      </c>
      <c r="M5" s="2" t="s">
        <v>18</v>
      </c>
    </row>
    <row r="6" spans="1:13" x14ac:dyDescent="0.2">
      <c r="A6" s="2" t="str">
        <f t="shared" si="0"/>
        <v>Prague, Czech Republic</v>
      </c>
      <c r="B6" s="2">
        <f>_xll.GeodesiX.UDF.Geocode(B$1,$A6)</f>
        <v>50.075538100000003</v>
      </c>
      <c r="C6" s="2">
        <f>_xll.GeodesiX.UDF.Geocode(C$1,$A6)</f>
        <v>14.4378005</v>
      </c>
      <c r="D6" s="4" t="s">
        <v>332</v>
      </c>
      <c r="E6" s="2" t="str">
        <f t="shared" si="1"/>
        <v>&lt;table&gt;&lt;tr&gt;&lt;td align=right&gt;State&lt;/td&gt;&lt;td align=left&gt;Czech Republic&lt;/tr&gt;&lt;tr&gt;&lt;td align=right&gt;Capital&lt;/td&gt;&lt;td align=left&gt;Prague&lt;/tr&gt;&lt;tr&gt;&lt;td align=right&gt;Name&lt;/td&gt;&lt;td align=left&gt;Česká republika&lt;/tr&gt;&lt;tr&gt;&lt;td align=right&gt;Joined&lt;/td&gt;&lt;td align=left&gt;2004&lt;/tr&gt;&lt;tr&gt;&lt;td align=right&gt;Population&lt;/td&gt;&lt;td align=left&gt;10,512,397&lt;/tr&gt;&lt;tr&gt;&lt;td align=right&gt;km²&lt;/td&gt;&lt;td align=left&gt;78,866&lt;/tr&gt;&lt;tr&gt;&lt;td align=right&gt;GDP&lt;/td&gt;&lt;td align=left&gt;24,093&lt;/tr&gt;&lt;tr&gt;&lt;td align=right&gt;Currency&lt;/td&gt;&lt;td align=left&gt;Czech koruna&lt;/tr&gt;&lt;/table&gt;</v>
      </c>
      <c r="F6" s="2" t="s">
        <v>39</v>
      </c>
      <c r="G6" s="2" t="s">
        <v>40</v>
      </c>
      <c r="H6" s="2" t="s">
        <v>41</v>
      </c>
      <c r="I6" s="3">
        <v>2004</v>
      </c>
      <c r="J6" s="3" t="s">
        <v>42</v>
      </c>
      <c r="K6" s="3" t="s">
        <v>43</v>
      </c>
      <c r="L6" s="3" t="s">
        <v>44</v>
      </c>
      <c r="M6" s="2" t="s">
        <v>45</v>
      </c>
    </row>
    <row r="7" spans="1:13" x14ac:dyDescent="0.2">
      <c r="A7" s="2" t="str">
        <f t="shared" si="0"/>
        <v>Copenhagen, Denmark</v>
      </c>
      <c r="B7" s="2">
        <f>_xll.GeodesiX.UDF.Geocode(B$1,$A7)</f>
        <v>55.676096800000003</v>
      </c>
      <c r="C7" s="2">
        <f>_xll.GeodesiX.UDF.Geocode(C$1,$A7)</f>
        <v>12.568337100000001</v>
      </c>
      <c r="D7" s="4" t="s">
        <v>333</v>
      </c>
      <c r="E7" s="2" t="str">
        <f t="shared" si="1"/>
        <v>&lt;table&gt;&lt;tr&gt;&lt;td align=right&gt;State&lt;/td&gt;&lt;td align=left&gt;Denmark&lt;/tr&gt;&lt;tr&gt;&lt;td align=right&gt;Capital&lt;/td&gt;&lt;td align=left&gt;Copenhagen&lt;/tr&gt;&lt;tr&gt;&lt;td align=right&gt;Name&lt;/td&gt;&lt;td align=left&gt;Kongeriget Danmark&lt;/tr&gt;&lt;tr&gt;&lt;td align=right&gt;Joined&lt;/td&gt;&lt;td align=left&gt;1973&lt;/tr&gt;&lt;tr&gt;&lt;td align=right&gt;Population&lt;/td&gt;&lt;td align=left&gt;5,547,088&lt;/tr&gt;&lt;tr&gt;&lt;td align=right&gt;km²&lt;/td&gt;&lt;td align=left&gt;43,094&lt;/tr&gt;&lt;tr&gt;&lt;td align=right&gt;GDP&lt;/td&gt;&lt;td align=left&gt;35,757&lt;/tr&gt;&lt;tr&gt;&lt;td align=right&gt;Currency&lt;/td&gt;&lt;td align=left&gt;Danish krone&lt;/tr&gt;&lt;/table&gt;</v>
      </c>
      <c r="F7" s="2" t="s">
        <v>46</v>
      </c>
      <c r="G7" s="2" t="s">
        <v>47</v>
      </c>
      <c r="H7" s="2" t="s">
        <v>48</v>
      </c>
      <c r="I7" s="3">
        <v>1973</v>
      </c>
      <c r="J7" s="3" t="s">
        <v>49</v>
      </c>
      <c r="K7" s="3" t="s">
        <v>50</v>
      </c>
      <c r="L7" s="3" t="s">
        <v>51</v>
      </c>
      <c r="M7" s="2" t="s">
        <v>52</v>
      </c>
    </row>
    <row r="8" spans="1:13" x14ac:dyDescent="0.2">
      <c r="A8" s="2" t="str">
        <f t="shared" si="0"/>
        <v>Tallinn, Estonia</v>
      </c>
      <c r="B8" s="2">
        <f>_xll.GeodesiX.UDF.Geocode(B$1,$A8)</f>
        <v>59.436960800000001</v>
      </c>
      <c r="C8" s="2">
        <f>_xll.GeodesiX.UDF.Geocode(C$1,$A8)</f>
        <v>24.7535746</v>
      </c>
      <c r="D8" s="4" t="s">
        <v>334</v>
      </c>
      <c r="E8" s="2" t="str">
        <f t="shared" si="1"/>
        <v>&lt;table&gt;&lt;tr&gt;&lt;td align=right&gt;State&lt;/td&gt;&lt;td align=left&gt;Estonia&lt;/tr&gt;&lt;tr&gt;&lt;td align=right&gt;Capital&lt;/td&gt;&lt;td align=left&gt;Tallinn&lt;/tr&gt;&lt;tr&gt;&lt;td align=right&gt;Name&lt;/td&gt;&lt;td align=left&gt;Eesti Vabariik&lt;/tr&gt;&lt;tr&gt;&lt;td align=right&gt;Joined&lt;/td&gt;&lt;td align=left&gt;2004&lt;/tr&gt;&lt;tr&gt;&lt;td align=right&gt;Population&lt;/td&gt;&lt;td align=left&gt;1,340,274&lt;/tr&gt;&lt;tr&gt;&lt;td align=right&gt;km²&lt;/td&gt;&lt;td align=left&gt;45,226&lt;/tr&gt;&lt;tr&gt;&lt;td align=right&gt;GDP&lt;/td&gt;&lt;td align=left&gt;17,908&lt;/tr&gt;&lt;tr&gt;&lt;td align=right&gt;Currency&lt;/td&gt;&lt;td align=left&gt;Euro&lt;/tr&gt;&lt;/table&gt;</v>
      </c>
      <c r="F8" s="2" t="s">
        <v>53</v>
      </c>
      <c r="G8" s="2" t="s">
        <v>54</v>
      </c>
      <c r="H8" s="2" t="s">
        <v>55</v>
      </c>
      <c r="I8" s="3">
        <v>2004</v>
      </c>
      <c r="J8" s="3" t="s">
        <v>56</v>
      </c>
      <c r="K8" s="3" t="s">
        <v>57</v>
      </c>
      <c r="L8" s="3" t="s">
        <v>58</v>
      </c>
      <c r="M8" s="2" t="s">
        <v>18</v>
      </c>
    </row>
    <row r="9" spans="1:13" x14ac:dyDescent="0.2">
      <c r="A9" s="2" t="str">
        <f t="shared" si="0"/>
        <v>Helsinki, Finland</v>
      </c>
      <c r="B9" s="2">
        <f>_xll.GeodesiX.UDF.Geocode(B$1,$A9)</f>
        <v>60.169855699999999</v>
      </c>
      <c r="C9" s="2">
        <f>_xll.GeodesiX.UDF.Geocode(C$1,$A9)</f>
        <v>24.938379000000001</v>
      </c>
      <c r="D9" s="4" t="s">
        <v>335</v>
      </c>
      <c r="E9" s="2" t="str">
        <f t="shared" si="1"/>
        <v>&lt;table&gt;&lt;tr&gt;&lt;td align=right&gt;State&lt;/td&gt;&lt;td align=left&gt;Finland&lt;/tr&gt;&lt;tr&gt;&lt;td align=right&gt;Capital&lt;/td&gt;&lt;td align=left&gt;Helsinki&lt;/tr&gt;&lt;tr&gt;&lt;td align=right&gt;Name&lt;/td&gt;&lt;td align=left&gt;Suomen tasavalta&lt;/tr&gt;&lt;tr&gt;&lt;td align=right&gt;Joined&lt;/td&gt;&lt;td align=left&gt;1995&lt;/tr&gt;&lt;tr&gt;&lt;td align=right&gt;Population&lt;/td&gt;&lt;td align=left&gt;5,350,475&lt;/tr&gt;&lt;tr&gt;&lt;td align=right&gt;km²&lt;/td&gt;&lt;td align=left&gt;338,145&lt;/tr&gt;&lt;tr&gt;&lt;td align=right&gt;GDP&lt;/td&gt;&lt;td align=left&gt;33,555&lt;/tr&gt;&lt;tr&gt;&lt;td align=right&gt;Currency&lt;/td&gt;&lt;td align=left&gt;Euro&lt;/tr&gt;&lt;/table&gt;</v>
      </c>
      <c r="F9" s="2" t="s">
        <v>59</v>
      </c>
      <c r="G9" s="2" t="s">
        <v>60</v>
      </c>
      <c r="H9" s="2" t="s">
        <v>61</v>
      </c>
      <c r="I9" s="3">
        <v>1995</v>
      </c>
      <c r="J9" s="3" t="s">
        <v>62</v>
      </c>
      <c r="K9" s="3" t="s">
        <v>63</v>
      </c>
      <c r="L9" s="3" t="s">
        <v>64</v>
      </c>
      <c r="M9" s="2" t="s">
        <v>18</v>
      </c>
    </row>
    <row r="10" spans="1:13" x14ac:dyDescent="0.2">
      <c r="A10" s="2" t="str">
        <f t="shared" si="0"/>
        <v>Paris, France</v>
      </c>
      <c r="B10" s="2">
        <f>_xll.GeodesiX.UDF.Geocode(B$1,$A10)</f>
        <v>48.857547500000003</v>
      </c>
      <c r="C10" s="2">
        <f>_xll.GeodesiX.UDF.Geocode(C$1,$A10)</f>
        <v>2.3513765000000002</v>
      </c>
      <c r="D10" s="4" t="s">
        <v>336</v>
      </c>
      <c r="E10" s="2" t="str">
        <f t="shared" si="1"/>
        <v>&lt;table&gt;&lt;tr&gt;&lt;td align=right&gt;State&lt;/td&gt;&lt;td align=left&gt;France&lt;/tr&gt;&lt;tr&gt;&lt;td align=right&gt;Capital&lt;/td&gt;&lt;td align=left&gt;Paris&lt;/tr&gt;&lt;tr&gt;&lt;td align=right&gt;Name&lt;/td&gt;&lt;td align=left&gt;République française&lt;/tr&gt;&lt;tr&gt;&lt;td align=right&gt;Joined&lt;/td&gt;&lt;td align=left&gt;Founder&lt;/tr&gt;&lt;tr&gt;&lt;td align=right&gt;Population&lt;/td&gt;&lt;td align=left&gt;64,709,480&lt;/tr&gt;&lt;tr&gt;&lt;td align=right&gt;km²&lt;/td&gt;&lt;td align=left&gt;674,843&lt;/tr&gt;&lt;tr&gt;&lt;td align=right&gt;GDP&lt;/td&gt;&lt;td align=left&gt;33,678&lt;/tr&gt;&lt;tr&gt;&lt;td align=right&gt;Currency&lt;/td&gt;&lt;td align=left&gt;Euro&lt;/tr&gt;&lt;/table&gt;</v>
      </c>
      <c r="F10" s="2" t="s">
        <v>65</v>
      </c>
      <c r="G10" s="2" t="s">
        <v>66</v>
      </c>
      <c r="H10" s="2" t="s">
        <v>67</v>
      </c>
      <c r="I10" s="3" t="s">
        <v>22</v>
      </c>
      <c r="J10" s="3" t="s">
        <v>68</v>
      </c>
      <c r="K10" s="3" t="s">
        <v>69</v>
      </c>
      <c r="L10" s="3" t="s">
        <v>70</v>
      </c>
      <c r="M10" s="2" t="s">
        <v>18</v>
      </c>
    </row>
    <row r="11" spans="1:13" x14ac:dyDescent="0.2">
      <c r="A11" s="2" t="str">
        <f t="shared" si="0"/>
        <v>Berlin, Germany</v>
      </c>
      <c r="B11" s="2">
        <f>_xll.GeodesiX.UDF.Geocode(B$1,$A11)</f>
        <v>52.520006600000002</v>
      </c>
      <c r="C11" s="2">
        <f>_xll.GeodesiX.UDF.Geocode(C$1,$A11)</f>
        <v>13.404954</v>
      </c>
      <c r="D11" s="4" t="s">
        <v>337</v>
      </c>
      <c r="E11" s="2" t="str">
        <f t="shared" si="1"/>
        <v>&lt;table&gt;&lt;tr&gt;&lt;td align=right&gt;State&lt;/td&gt;&lt;td align=left&gt;Germany&lt;/tr&gt;&lt;tr&gt;&lt;td align=right&gt;Capital&lt;/td&gt;&lt;td align=left&gt;Berlin&lt;/tr&gt;&lt;tr&gt;&lt;td align=right&gt;Name&lt;/td&gt;&lt;td align=left&gt;Bundesrepublik Deutschland&lt;/tr&gt;&lt;tr&gt;&lt;td align=right&gt;Joined&lt;/td&gt;&lt;td align=left&gt;Founder&lt;/tr&gt;&lt;tr&gt;&lt;td align=right&gt;Population&lt;/td&gt;&lt;td align=left&gt;81,757,595&lt;/tr&gt;&lt;tr&gt;&lt;td align=right&gt;km²&lt;/td&gt;&lt;td align=left&gt;357,050&lt;/tr&gt;&lt;tr&gt;&lt;td align=right&gt;GDP&lt;/td&gt;&lt;td align=left&gt;34,212&lt;/tr&gt;&lt;tr&gt;&lt;td align=right&gt;Currency&lt;/td&gt;&lt;td align=left&gt;Euro&lt;/tr&gt;&lt;/table&gt;</v>
      </c>
      <c r="F11" s="2" t="s">
        <v>71</v>
      </c>
      <c r="G11" s="2" t="s">
        <v>72</v>
      </c>
      <c r="H11" s="2" t="s">
        <v>73</v>
      </c>
      <c r="I11" s="3" t="s">
        <v>22</v>
      </c>
      <c r="J11" s="3" t="s">
        <v>74</v>
      </c>
      <c r="K11" s="3" t="s">
        <v>75</v>
      </c>
      <c r="L11" s="3" t="s">
        <v>76</v>
      </c>
      <c r="M11" s="2" t="s">
        <v>18</v>
      </c>
    </row>
    <row r="12" spans="1:13" x14ac:dyDescent="0.2">
      <c r="A12" s="2" t="str">
        <f t="shared" si="0"/>
        <v>Athens, Greece</v>
      </c>
      <c r="B12" s="2">
        <f>_xll.GeodesiX.UDF.Geocode(B$1,$A12)</f>
        <v>37.983809600000001</v>
      </c>
      <c r="C12" s="2">
        <f>_xll.GeodesiX.UDF.Geocode(C$1,$A12)</f>
        <v>23.727538800000001</v>
      </c>
      <c r="D12" s="4" t="s">
        <v>338</v>
      </c>
      <c r="E12" s="2" t="str">
        <f t="shared" si="1"/>
        <v>&lt;table&gt;&lt;tr&gt;&lt;td align=right&gt;State&lt;/td&gt;&lt;td align=left&gt;Greece&lt;/tr&gt;&lt;tr&gt;&lt;td align=right&gt;Capital&lt;/td&gt;&lt;td align=left&gt;Athens&lt;/tr&gt;&lt;tr&gt;&lt;td align=right&gt;Name&lt;/td&gt;&lt;td align=left&gt;Ελληνική Δημοκρατία&lt;/tr&gt;&lt;tr&gt;&lt;td align=right&gt;Joined&lt;/td&gt;&lt;td align=left&gt;1981&lt;/tr&gt;&lt;tr&gt;&lt;td align=right&gt;Population&lt;/td&gt;&lt;td align=left&gt;11,125,179&lt;/tr&gt;&lt;tr&gt;&lt;td align=right&gt;km²&lt;/td&gt;&lt;td align=left&gt;131,990&lt;/tr&gt;&lt;tr&gt;&lt;td align=right&gt;GDP&lt;/td&gt;&lt;td align=left&gt;29,881&lt;/tr&gt;&lt;tr&gt;&lt;td align=right&gt;Currency&lt;/td&gt;&lt;td align=left&gt;Euro&lt;/tr&gt;&lt;/table&gt;</v>
      </c>
      <c r="F12" s="2" t="s">
        <v>77</v>
      </c>
      <c r="G12" s="2" t="s">
        <v>78</v>
      </c>
      <c r="H12" s="2" t="s">
        <v>79</v>
      </c>
      <c r="I12" s="3">
        <v>1981</v>
      </c>
      <c r="J12" s="3" t="s">
        <v>80</v>
      </c>
      <c r="K12" s="3" t="s">
        <v>81</v>
      </c>
      <c r="L12" s="3" t="s">
        <v>82</v>
      </c>
      <c r="M12" s="2" t="s">
        <v>18</v>
      </c>
    </row>
    <row r="13" spans="1:13" x14ac:dyDescent="0.2">
      <c r="A13" s="2" t="str">
        <f t="shared" si="0"/>
        <v>Budapest, Hungary</v>
      </c>
      <c r="B13" s="2">
        <f>_xll.GeodesiX.UDF.Geocode(B$1,$A13)</f>
        <v>47.497911999999999</v>
      </c>
      <c r="C13" s="2">
        <f>_xll.GeodesiX.UDF.Geocode(C$1,$A13)</f>
        <v>19.040234999999999</v>
      </c>
      <c r="D13" s="4" t="s">
        <v>339</v>
      </c>
      <c r="E13" s="2" t="str">
        <f t="shared" si="1"/>
        <v>&lt;table&gt;&lt;tr&gt;&lt;td align=right&gt;State&lt;/td&gt;&lt;td align=left&gt;Hungary&lt;/tr&gt;&lt;tr&gt;&lt;td align=right&gt;Capital&lt;/td&gt;&lt;td align=left&gt;Budapest&lt;/tr&gt;&lt;tr&gt;&lt;td align=right&gt;Name&lt;/td&gt;&lt;td align=left&gt;Magyar Köztársaság&lt;/tr&gt;&lt;tr&gt;&lt;td align=right&gt;Joined&lt;/td&gt;&lt;td align=left&gt;2004&lt;/tr&gt;&lt;tr&gt;&lt;td align=right&gt;Population&lt;/td&gt;&lt;td align=left&gt;10,013,628&lt;/tr&gt;&lt;tr&gt;&lt;td align=right&gt;km²&lt;/td&gt;&lt;td align=left&gt;93,030&lt;/tr&gt;&lt;tr&gt;&lt;td align=right&gt;GDP&lt;/td&gt;&lt;td align=left&gt;18,566&lt;/tr&gt;&lt;tr&gt;&lt;td align=right&gt;Currency&lt;/td&gt;&lt;td align=left&gt;Hungarian forint&lt;/tr&gt;&lt;/table&gt;</v>
      </c>
      <c r="F13" s="2" t="s">
        <v>83</v>
      </c>
      <c r="G13" s="2" t="s">
        <v>84</v>
      </c>
      <c r="H13" s="2" t="s">
        <v>85</v>
      </c>
      <c r="I13" s="3">
        <v>2004</v>
      </c>
      <c r="J13" s="3" t="s">
        <v>86</v>
      </c>
      <c r="K13" s="3" t="s">
        <v>87</v>
      </c>
      <c r="L13" s="3" t="s">
        <v>88</v>
      </c>
      <c r="M13" s="2" t="s">
        <v>89</v>
      </c>
    </row>
    <row r="14" spans="1:13" x14ac:dyDescent="0.2">
      <c r="A14" s="2" t="str">
        <f t="shared" si="0"/>
        <v>Dublin, Ireland</v>
      </c>
      <c r="B14" s="2">
        <f>_xll.GeodesiX.UDF.Geocode(B$1,$A14)</f>
        <v>53.3498053</v>
      </c>
      <c r="C14" s="2">
        <f>_xll.GeodesiX.UDF.Geocode(C$1,$A14)</f>
        <v>-6.2603096999999996</v>
      </c>
      <c r="D14" s="4" t="s">
        <v>340</v>
      </c>
      <c r="E14" s="2" t="str">
        <f t="shared" si="1"/>
        <v>&lt;table&gt;&lt;tr&gt;&lt;td align=right&gt;State&lt;/td&gt;&lt;td align=left&gt;Ireland&lt;/tr&gt;&lt;tr&gt;&lt;td align=right&gt;Capital&lt;/td&gt;&lt;td align=left&gt;Dublin&lt;/tr&gt;&lt;tr&gt;&lt;td align=right&gt;Name&lt;/td&gt;&lt;td align=left&gt;Éire&lt;/tr&gt;&lt;tr&gt;&lt;td align=right&gt;Joined&lt;/td&gt;&lt;td align=left&gt;1973&lt;/tr&gt;&lt;tr&gt;&lt;td align=right&gt;Population&lt;/td&gt;&lt;td align=left&gt;4,467,854&lt;/tr&gt;&lt;tr&gt;&lt;td align=right&gt;km²&lt;/td&gt;&lt;td align=left&gt;70,273&lt;/tr&gt;&lt;tr&gt;&lt;td align=right&gt;GDP&lt;/td&gt;&lt;td align=left&gt;39,468&lt;/tr&gt;&lt;tr&gt;&lt;td align=right&gt;Currency&lt;/td&gt;&lt;td align=left&gt;Euro&lt;/tr&gt;&lt;/table&gt;</v>
      </c>
      <c r="F14" s="2" t="s">
        <v>90</v>
      </c>
      <c r="G14" s="2" t="s">
        <v>91</v>
      </c>
      <c r="H14" s="2" t="s">
        <v>92</v>
      </c>
      <c r="I14" s="3">
        <v>1973</v>
      </c>
      <c r="J14" s="3" t="s">
        <v>93</v>
      </c>
      <c r="K14" s="3" t="s">
        <v>94</v>
      </c>
      <c r="L14" s="3" t="s">
        <v>95</v>
      </c>
      <c r="M14" s="2" t="s">
        <v>18</v>
      </c>
    </row>
    <row r="15" spans="1:13" x14ac:dyDescent="0.2">
      <c r="A15" s="2" t="str">
        <f t="shared" si="0"/>
        <v>Rome, Italy</v>
      </c>
      <c r="B15" s="2">
        <f>_xll.GeodesiX.UDF.Geocode(B$1,$A15)</f>
        <v>41.896706799999997</v>
      </c>
      <c r="C15" s="2">
        <f>_xll.GeodesiX.UDF.Geocode(C$1,$A15)</f>
        <v>12.4822025</v>
      </c>
      <c r="D15" s="4" t="s">
        <v>341</v>
      </c>
      <c r="E15" s="2" t="str">
        <f t="shared" si="1"/>
        <v>&lt;table&gt;&lt;tr&gt;&lt;td align=right&gt;State&lt;/td&gt;&lt;td align=left&gt;Italy&lt;/tr&gt;&lt;tr&gt;&lt;td align=right&gt;Capital&lt;/td&gt;&lt;td align=left&gt;Rome&lt;/tr&gt;&lt;tr&gt;&lt;td align=right&gt;Name&lt;/td&gt;&lt;td align=left&gt;Repubblica italiana&lt;/tr&gt;&lt;tr&gt;&lt;td align=right&gt;Joined&lt;/td&gt;&lt;td align=left&gt;Founder&lt;/tr&gt;&lt;tr&gt;&lt;td align=right&gt;Population&lt;/td&gt;&lt;td align=left&gt;60,397,353&lt;/tr&gt;&lt;tr&gt;&lt;td align=right&gt;km²&lt;/td&gt;&lt;td align=left&gt;301,318&lt;/tr&gt;&lt;tr&gt;&lt;td align=right&gt;GDP&lt;/td&gt;&lt;td align=left&gt;29,109&lt;/tr&gt;&lt;tr&gt;&lt;td align=right&gt;Currency&lt;/td&gt;&lt;td align=left&gt;Euro&lt;/tr&gt;&lt;/table&gt;</v>
      </c>
      <c r="F15" s="2" t="s">
        <v>96</v>
      </c>
      <c r="G15" s="2" t="s">
        <v>97</v>
      </c>
      <c r="H15" s="2" t="s">
        <v>98</v>
      </c>
      <c r="I15" s="3" t="s">
        <v>22</v>
      </c>
      <c r="J15" s="3" t="s">
        <v>99</v>
      </c>
      <c r="K15" s="3" t="s">
        <v>100</v>
      </c>
      <c r="L15" s="3" t="s">
        <v>101</v>
      </c>
      <c r="M15" s="2" t="s">
        <v>18</v>
      </c>
    </row>
    <row r="16" spans="1:13" x14ac:dyDescent="0.2">
      <c r="A16" s="2" t="str">
        <f t="shared" si="0"/>
        <v>Riga, Latvia</v>
      </c>
      <c r="B16" s="2">
        <f>_xll.GeodesiX.UDF.Geocode(B$1,$A16)</f>
        <v>56.967694100000003</v>
      </c>
      <c r="C16" s="2">
        <f>_xll.GeodesiX.UDF.Geocode(C$1,$A16)</f>
        <v>24.105622100000001</v>
      </c>
      <c r="D16" s="4" t="s">
        <v>342</v>
      </c>
      <c r="E16" s="2" t="str">
        <f t="shared" si="1"/>
        <v>&lt;table&gt;&lt;tr&gt;&lt;td align=right&gt;State&lt;/td&gt;&lt;td align=left&gt;Latvia&lt;/tr&gt;&lt;tr&gt;&lt;td align=right&gt;Capital&lt;/td&gt;&lt;td align=left&gt;Riga&lt;/tr&gt;&lt;tr&gt;&lt;td align=right&gt;Name&lt;/td&gt;&lt;td align=left&gt;Latvijas Republika&lt;/tr&gt;&lt;tr&gt;&lt;td align=right&gt;Joined&lt;/td&gt;&lt;td align=left&gt;2004&lt;/tr&gt;&lt;tr&gt;&lt;td align=right&gt;Population&lt;/td&gt;&lt;td align=left&gt;2,248,961&lt;/tr&gt;&lt;tr&gt;&lt;td align=right&gt;km²&lt;/td&gt;&lt;td align=left&gt;64,589&lt;/tr&gt;&lt;tr&gt;&lt;td align=right&gt;GDP&lt;/td&gt;&lt;td align=left&gt;14,254&lt;/tr&gt;&lt;tr&gt;&lt;td align=right&gt;Currency&lt;/td&gt;&lt;td align=left&gt;Latvian lats&lt;/tr&gt;&lt;/table&gt;</v>
      </c>
      <c r="F16" s="2" t="s">
        <v>102</v>
      </c>
      <c r="G16" s="2" t="s">
        <v>103</v>
      </c>
      <c r="H16" s="2" t="s">
        <v>104</v>
      </c>
      <c r="I16" s="3">
        <v>2004</v>
      </c>
      <c r="J16" s="3" t="s">
        <v>105</v>
      </c>
      <c r="K16" s="3" t="s">
        <v>106</v>
      </c>
      <c r="L16" s="3" t="s">
        <v>107</v>
      </c>
      <c r="M16" s="2" t="s">
        <v>108</v>
      </c>
    </row>
    <row r="17" spans="1:13" x14ac:dyDescent="0.2">
      <c r="A17" s="2" t="str">
        <f t="shared" si="0"/>
        <v>Vilnius, Lithuania</v>
      </c>
      <c r="B17" s="2">
        <f>_xll.GeodesiX.UDF.Geocode(B$1,$A17)</f>
        <v>54.687155500000003</v>
      </c>
      <c r="C17" s="2">
        <f>_xll.GeodesiX.UDF.Geocode(C$1,$A17)</f>
        <v>25.279651399999999</v>
      </c>
      <c r="D17" s="4" t="s">
        <v>343</v>
      </c>
      <c r="E17" s="2" t="str">
        <f t="shared" si="1"/>
        <v>&lt;table&gt;&lt;tr&gt;&lt;td align=right&gt;State&lt;/td&gt;&lt;td align=left&gt;Lithuania&lt;/tr&gt;&lt;tr&gt;&lt;td align=right&gt;Capital&lt;/td&gt;&lt;td align=left&gt;Vilnius&lt;/tr&gt;&lt;tr&gt;&lt;td align=right&gt;Name&lt;/td&gt;&lt;td align=left&gt;Lietuvos Respublika&lt;/tr&gt;&lt;tr&gt;&lt;td align=right&gt;Joined&lt;/td&gt;&lt;td align=left&gt;2004&lt;/tr&gt;&lt;tr&gt;&lt;td align=right&gt;Population&lt;/td&gt;&lt;td align=left&gt;3,329,227&lt;/tr&gt;&lt;tr&gt;&lt;td align=right&gt;km²&lt;/td&gt;&lt;td align=left&gt;65,303&lt;/tr&gt;&lt;tr&gt;&lt;td align=right&gt;GDP&lt;/td&gt;&lt;td align=left&gt;16,542&lt;/tr&gt;&lt;tr&gt;&lt;td align=right&gt;Currency&lt;/td&gt;&lt;td align=left&gt;Lithuanian litas&lt;/tr&gt;&lt;/table&gt;</v>
      </c>
      <c r="F17" s="2" t="s">
        <v>109</v>
      </c>
      <c r="G17" s="2" t="s">
        <v>110</v>
      </c>
      <c r="H17" s="2" t="s">
        <v>111</v>
      </c>
      <c r="I17" s="3">
        <v>2004</v>
      </c>
      <c r="J17" s="3" t="s">
        <v>112</v>
      </c>
      <c r="K17" s="3" t="s">
        <v>113</v>
      </c>
      <c r="L17" s="3" t="s">
        <v>114</v>
      </c>
      <c r="M17" s="2" t="s">
        <v>115</v>
      </c>
    </row>
    <row r="18" spans="1:13" x14ac:dyDescent="0.2">
      <c r="A18" s="2" t="str">
        <f t="shared" si="0"/>
        <v>Luxembourg, Luxembourg</v>
      </c>
      <c r="B18" s="2">
        <f>_xll.GeodesiX.UDF.Geocode(B$1,$A18)</f>
        <v>49.815272999999998</v>
      </c>
      <c r="C18" s="2">
        <f>_xll.GeodesiX.UDF.Geocode(C$1,$A18)</f>
        <v>6.1295830000000002</v>
      </c>
      <c r="D18" s="4" t="s">
        <v>344</v>
      </c>
      <c r="E18" s="2" t="str">
        <f t="shared" si="1"/>
        <v>&lt;table&gt;&lt;tr&gt;&lt;td align=right&gt;State&lt;/td&gt;&lt;td align=left&gt;Luxembourg&lt;/tr&gt;&lt;tr&gt;&lt;td align=right&gt;Capital&lt;/td&gt;&lt;td align=left&gt;Luxembourg&lt;/tr&gt;&lt;tr&gt;&lt;td align=right&gt;Name&lt;/td&gt;&lt;td align=left&gt;Grand-Duché de Luxembourg&lt;/tr&gt;&lt;tr&gt;&lt;td align=right&gt;Joined&lt;/td&gt;&lt;td align=left&gt;Founder&lt;/tr&gt;&lt;tr&gt;&lt;td align=right&gt;Population&lt;/td&gt;&lt;td align=left&gt;502,207&lt;/tr&gt;&lt;tr&gt;&lt;td align=right&gt;km²&lt;/td&gt;&lt;td align=left&gt;2,586&lt;/tr&gt;&lt;tr&gt;&lt;td align=right&gt;GDP&lt;/td&gt;&lt;td align=left&gt;78,395&lt;/tr&gt;&lt;tr&gt;&lt;td align=right&gt;Currency&lt;/td&gt;&lt;td align=left&gt;Euro&lt;/tr&gt;&lt;/table&gt;</v>
      </c>
      <c r="F18" s="2" t="s">
        <v>116</v>
      </c>
      <c r="G18" s="2" t="s">
        <v>116</v>
      </c>
      <c r="H18" s="2" t="s">
        <v>117</v>
      </c>
      <c r="I18" s="3" t="s">
        <v>22</v>
      </c>
      <c r="J18" s="3" t="s">
        <v>118</v>
      </c>
      <c r="K18" s="3" t="s">
        <v>119</v>
      </c>
      <c r="L18" s="3" t="s">
        <v>120</v>
      </c>
      <c r="M18" s="2" t="s">
        <v>18</v>
      </c>
    </row>
    <row r="19" spans="1:13" x14ac:dyDescent="0.2">
      <c r="A19" s="2" t="str">
        <f t="shared" si="0"/>
        <v>Valletta, Malta</v>
      </c>
      <c r="B19" s="2">
        <f>_xll.GeodesiX.UDF.Geocode(B$1,$A19)</f>
        <v>35.899237499999998</v>
      </c>
      <c r="C19" s="2">
        <f>_xll.GeodesiX.UDF.Geocode(C$1,$A19)</f>
        <v>14.5140996</v>
      </c>
      <c r="D19" s="4" t="s">
        <v>345</v>
      </c>
      <c r="E19" s="2" t="str">
        <f t="shared" si="1"/>
        <v>&lt;table&gt;&lt;tr&gt;&lt;td align=right&gt;State&lt;/td&gt;&lt;td align=left&gt;Malta&lt;/tr&gt;&lt;tr&gt;&lt;td align=right&gt;Capital&lt;/td&gt;&lt;td align=left&gt;Valletta&lt;/tr&gt;&lt;tr&gt;&lt;td align=right&gt;Name&lt;/td&gt;&lt;td align=left&gt;Repubblika ta Malta&lt;/tr&gt;&lt;tr&gt;&lt;td align=right&gt;Joined&lt;/td&gt;&lt;td align=left&gt;2004&lt;/tr&gt;&lt;tr&gt;&lt;td align=right&gt;Population&lt;/td&gt;&lt;td align=left&gt;416,333&lt;/tr&gt;&lt;tr&gt;&lt;td align=right&gt;km²&lt;/td&gt;&lt;td align=left&gt;316&lt;/tr&gt;&lt;tr&gt;&lt;td align=right&gt;GDP&lt;/td&gt;&lt;td align=left&gt;23,583&lt;/tr&gt;&lt;tr&gt;&lt;td align=right&gt;Currency&lt;/td&gt;&lt;td align=left&gt;Euro&lt;/tr&gt;&lt;/table&gt;</v>
      </c>
      <c r="F19" s="2" t="s">
        <v>121</v>
      </c>
      <c r="G19" s="2" t="s">
        <v>122</v>
      </c>
      <c r="H19" s="2" t="s">
        <v>326</v>
      </c>
      <c r="I19" s="3">
        <v>2004</v>
      </c>
      <c r="J19" s="3" t="s">
        <v>123</v>
      </c>
      <c r="K19" s="3">
        <v>316</v>
      </c>
      <c r="L19" s="3" t="s">
        <v>124</v>
      </c>
      <c r="M19" s="2" t="s">
        <v>18</v>
      </c>
    </row>
    <row r="20" spans="1:13" x14ac:dyDescent="0.2">
      <c r="A20" s="2" t="str">
        <f t="shared" si="0"/>
        <v>Amsterdam, Netherlands</v>
      </c>
      <c r="B20" s="2">
        <f>_xll.GeodesiX.UDF.Geocode(B$1,$A20)</f>
        <v>52.367573399999998</v>
      </c>
      <c r="C20" s="2">
        <f>_xll.GeodesiX.UDF.Geocode(C$1,$A20)</f>
        <v>4.9041389000000004</v>
      </c>
      <c r="D20" s="4" t="s">
        <v>346</v>
      </c>
      <c r="E20" s="2" t="str">
        <f t="shared" si="1"/>
        <v>&lt;table&gt;&lt;tr&gt;&lt;td align=right&gt;State&lt;/td&gt;&lt;td align=left&gt;Netherlands&lt;/tr&gt;&lt;tr&gt;&lt;td align=right&gt;Capital&lt;/td&gt;&lt;td align=left&gt;Amsterdam&lt;/tr&gt;&lt;tr&gt;&lt;td align=right&gt;Name&lt;/td&gt;&lt;td align=left&gt;Koninkrijk der Nederlanden&lt;/tr&gt;&lt;tr&gt;&lt;td align=right&gt;Joined&lt;/td&gt;&lt;td align=left&gt;Founder&lt;/tr&gt;&lt;tr&gt;&lt;td align=right&gt;Population&lt;/td&gt;&lt;td align=left&gt;16,576,800&lt;/tr&gt;&lt;tr&gt;&lt;td align=right&gt;km²&lt;/td&gt;&lt;td align=left&gt;41,526&lt;/tr&gt;&lt;tr&gt;&lt;td align=right&gt;GDP&lt;/td&gt;&lt;td align=left&gt;39,937&lt;/tr&gt;&lt;tr&gt;&lt;td align=right&gt;Currency&lt;/td&gt;&lt;td align=left&gt;Euro&lt;/tr&gt;&lt;/table&gt;</v>
      </c>
      <c r="F20" s="2" t="s">
        <v>125</v>
      </c>
      <c r="G20" s="2" t="s">
        <v>126</v>
      </c>
      <c r="H20" s="2" t="s">
        <v>127</v>
      </c>
      <c r="I20" s="3" t="s">
        <v>22</v>
      </c>
      <c r="J20" s="3" t="s">
        <v>128</v>
      </c>
      <c r="K20" s="3" t="s">
        <v>129</v>
      </c>
      <c r="L20" s="3" t="s">
        <v>130</v>
      </c>
      <c r="M20" s="2" t="s">
        <v>18</v>
      </c>
    </row>
    <row r="21" spans="1:13" x14ac:dyDescent="0.2">
      <c r="A21" s="2" t="str">
        <f t="shared" si="0"/>
        <v>Warsaw, Poland</v>
      </c>
      <c r="B21" s="2">
        <f>_xll.GeodesiX.UDF.Geocode(B$1,$A21)</f>
        <v>52.2296756</v>
      </c>
      <c r="C21" s="2">
        <f>_xll.GeodesiX.UDF.Geocode(C$1,$A21)</f>
        <v>21.012228700000001</v>
      </c>
      <c r="D21" s="4" t="s">
        <v>347</v>
      </c>
      <c r="E21" s="2" t="str">
        <f t="shared" si="1"/>
        <v>&lt;table&gt;&lt;tr&gt;&lt;td align=right&gt;State&lt;/td&gt;&lt;td align=left&gt;Poland&lt;/tr&gt;&lt;tr&gt;&lt;td align=right&gt;Capital&lt;/td&gt;&lt;td align=left&gt;Warsaw&lt;/tr&gt;&lt;tr&gt;&lt;td align=right&gt;Name&lt;/td&gt;&lt;td align=left&gt;Rzeczpospolita Polska&lt;/tr&gt;&lt;tr&gt;&lt;td align=right&gt;Joined&lt;/td&gt;&lt;td align=left&gt;2004&lt;/tr&gt;&lt;tr&gt;&lt;td align=right&gt;Population&lt;/td&gt;&lt;td align=left&gt;38,163,895&lt;/tr&gt;&lt;tr&gt;&lt;td align=right&gt;km²&lt;/td&gt;&lt;td align=left&gt;312,683&lt;/tr&gt;&lt;tr&gt;&lt;td align=right&gt;GDP&lt;/td&gt;&lt;td align=left&gt;18,072&lt;/tr&gt;&lt;tr&gt;&lt;td align=right&gt;Currency&lt;/td&gt;&lt;td align=left&gt;Polish złoty&lt;/tr&gt;&lt;/table&gt;</v>
      </c>
      <c r="F21" s="2" t="s">
        <v>131</v>
      </c>
      <c r="G21" s="2" t="s">
        <v>132</v>
      </c>
      <c r="H21" s="2" t="s">
        <v>133</v>
      </c>
      <c r="I21" s="3">
        <v>2004</v>
      </c>
      <c r="J21" s="3" t="s">
        <v>134</v>
      </c>
      <c r="K21" s="3" t="s">
        <v>135</v>
      </c>
      <c r="L21" s="3" t="s">
        <v>136</v>
      </c>
      <c r="M21" s="2" t="s">
        <v>137</v>
      </c>
    </row>
    <row r="22" spans="1:13" x14ac:dyDescent="0.2">
      <c r="A22" s="2" t="str">
        <f t="shared" si="0"/>
        <v>Lisbon, Portugal</v>
      </c>
      <c r="B22" s="2">
        <f>_xll.GeodesiX.UDF.Geocode(B$1,$A22)</f>
        <v>38.722252400000002</v>
      </c>
      <c r="C22" s="2">
        <f>_xll.GeodesiX.UDF.Geocode(C$1,$A22)</f>
        <v>-9.1393366</v>
      </c>
      <c r="D22" s="4" t="s">
        <v>348</v>
      </c>
      <c r="E22" s="2" t="str">
        <f t="shared" si="1"/>
        <v>&lt;table&gt;&lt;tr&gt;&lt;td align=right&gt;State&lt;/td&gt;&lt;td align=left&gt;Portugal&lt;/tr&gt;&lt;tr&gt;&lt;td align=right&gt;Capital&lt;/td&gt;&lt;td align=left&gt;Lisbon&lt;/tr&gt;&lt;tr&gt;&lt;td align=right&gt;Name&lt;/td&gt;&lt;td align=left&gt;República Portuguesa&lt;/tr&gt;&lt;tr&gt;&lt;td align=right&gt;Joined&lt;/td&gt;&lt;td align=left&gt;1986&lt;/tr&gt;&lt;tr&gt;&lt;td align=right&gt;Population&lt;/td&gt;&lt;td align=left&gt;11,317,192&lt;/tr&gt;&lt;tr&gt;&lt;td align=right&gt;km²&lt;/td&gt;&lt;td align=left&gt;92,391&lt;/tr&gt;&lt;tr&gt;&lt;td align=right&gt;GDP&lt;/td&gt;&lt;td align=left&gt;21,858&lt;/tr&gt;&lt;tr&gt;&lt;td align=right&gt;Currency&lt;/td&gt;&lt;td align=left&gt;Euro&lt;/tr&gt;&lt;/table&gt;</v>
      </c>
      <c r="F22" s="2" t="s">
        <v>138</v>
      </c>
      <c r="G22" s="2" t="s">
        <v>139</v>
      </c>
      <c r="H22" s="2" t="s">
        <v>140</v>
      </c>
      <c r="I22" s="3">
        <v>1986</v>
      </c>
      <c r="J22" s="3" t="s">
        <v>141</v>
      </c>
      <c r="K22" s="3" t="s">
        <v>142</v>
      </c>
      <c r="L22" s="3" t="s">
        <v>143</v>
      </c>
      <c r="M22" s="2" t="s">
        <v>18</v>
      </c>
    </row>
    <row r="23" spans="1:13" x14ac:dyDescent="0.2">
      <c r="A23" s="2" t="str">
        <f t="shared" si="0"/>
        <v>Bucharest, Romania</v>
      </c>
      <c r="B23" s="2">
        <f>_xll.GeodesiX.UDF.Geocode(B$1,$A23)</f>
        <v>44.426767400000003</v>
      </c>
      <c r="C23" s="2">
        <f>_xll.GeodesiX.UDF.Geocode(C$1,$A23)</f>
        <v>26.1025384</v>
      </c>
      <c r="D23" s="4" t="s">
        <v>349</v>
      </c>
      <c r="E23" s="2" t="str">
        <f t="shared" si="1"/>
        <v>&lt;table&gt;&lt;tr&gt;&lt;td align=right&gt;State&lt;/td&gt;&lt;td align=left&gt;Romania&lt;/tr&gt;&lt;tr&gt;&lt;td align=right&gt;Capital&lt;/td&gt;&lt;td align=left&gt;Bucharest&lt;/tr&gt;&lt;tr&gt;&lt;td align=right&gt;Name&lt;/td&gt;&lt;td align=left&gt;România&lt;/tr&gt;&lt;tr&gt;&lt;td align=right&gt;Joined&lt;/td&gt;&lt;td align=left&gt;2007&lt;/tr&gt;&lt;tr&gt;&lt;td align=right&gt;Population&lt;/td&gt;&lt;td align=left&gt;21,466,174&lt;/tr&gt;&lt;tr&gt;&lt;td align=right&gt;km²&lt;/td&gt;&lt;td align=left&gt;238,391&lt;/tr&gt;&lt;tr&gt;&lt;td align=right&gt;GDP&lt;/td&gt;&lt;td align=left&gt;11,917&lt;/tr&gt;&lt;tr&gt;&lt;td align=right&gt;Currency&lt;/td&gt;&lt;td align=left&gt;Romanian leu&lt;/tr&gt;&lt;/table&gt;</v>
      </c>
      <c r="F23" s="2" t="s">
        <v>144</v>
      </c>
      <c r="G23" s="2" t="s">
        <v>145</v>
      </c>
      <c r="H23" s="2" t="s">
        <v>146</v>
      </c>
      <c r="I23" s="3">
        <v>2007</v>
      </c>
      <c r="J23" s="3" t="s">
        <v>147</v>
      </c>
      <c r="K23" s="3" t="s">
        <v>148</v>
      </c>
      <c r="L23" s="3" t="s">
        <v>149</v>
      </c>
      <c r="M23" s="2" t="s">
        <v>150</v>
      </c>
    </row>
    <row r="24" spans="1:13" x14ac:dyDescent="0.2">
      <c r="A24" s="2" t="str">
        <f t="shared" si="0"/>
        <v>Bratislava, Slovakia</v>
      </c>
      <c r="B24" s="2">
        <f>_xll.GeodesiX.UDF.Geocode(B$1,$A24)</f>
        <v>48.148596499999996</v>
      </c>
      <c r="C24" s="2">
        <f>_xll.GeodesiX.UDF.Geocode(C$1,$A24)</f>
        <v>17.107747700000001</v>
      </c>
      <c r="D24" s="4" t="s">
        <v>350</v>
      </c>
      <c r="E24" s="2" t="str">
        <f t="shared" si="1"/>
        <v>&lt;table&gt;&lt;tr&gt;&lt;td align=right&gt;State&lt;/td&gt;&lt;td align=left&gt;Slovakia&lt;/tr&gt;&lt;tr&gt;&lt;td align=right&gt;Capital&lt;/td&gt;&lt;td align=left&gt;Bratislava&lt;/tr&gt;&lt;tr&gt;&lt;td align=right&gt;Name&lt;/td&gt;&lt;td align=left&gt;Slovenská republika&lt;/tr&gt;&lt;tr&gt;&lt;td align=right&gt;Joined&lt;/td&gt;&lt;td align=left&gt;2004&lt;/tr&gt;&lt;tr&gt;&lt;td align=right&gt;Population&lt;/td&gt;&lt;td align=left&gt;5,424,057&lt;/tr&gt;&lt;tr&gt;&lt;td align=right&gt;km²&lt;/td&gt;&lt;td align=left&gt;49,037&lt;/tr&gt;&lt;tr&gt;&lt;td align=right&gt;GDP&lt;/td&gt;&lt;td align=left&gt;21,244&lt;/tr&gt;&lt;tr&gt;&lt;td align=right&gt;Currency&lt;/td&gt;&lt;td align=left&gt;Euro&lt;/tr&gt;&lt;/table&gt;</v>
      </c>
      <c r="F24" s="2" t="s">
        <v>151</v>
      </c>
      <c r="G24" s="2" t="s">
        <v>152</v>
      </c>
      <c r="H24" s="2" t="s">
        <v>153</v>
      </c>
      <c r="I24" s="3">
        <v>2004</v>
      </c>
      <c r="J24" s="3" t="s">
        <v>154</v>
      </c>
      <c r="K24" s="3" t="s">
        <v>155</v>
      </c>
      <c r="L24" s="3" t="s">
        <v>156</v>
      </c>
      <c r="M24" s="2" t="s">
        <v>18</v>
      </c>
    </row>
    <row r="25" spans="1:13" x14ac:dyDescent="0.2">
      <c r="A25" s="2" t="str">
        <f t="shared" si="0"/>
        <v>Ljubljana, Slovenia</v>
      </c>
      <c r="B25" s="2">
        <f>_xll.GeodesiX.UDF.Geocode(B$1,$A25)</f>
        <v>46.056946500000002</v>
      </c>
      <c r="C25" s="2">
        <f>_xll.GeodesiX.UDF.Geocode(C$1,$A25)</f>
        <v>14.505751500000001</v>
      </c>
      <c r="D25" s="4" t="s">
        <v>351</v>
      </c>
      <c r="E25" s="2" t="str">
        <f t="shared" si="1"/>
        <v>&lt;table&gt;&lt;tr&gt;&lt;td align=right&gt;State&lt;/td&gt;&lt;td align=left&gt;Slovenia&lt;/tr&gt;&lt;tr&gt;&lt;td align=right&gt;Capital&lt;/td&gt;&lt;td align=left&gt;Ljubljana&lt;/tr&gt;&lt;tr&gt;&lt;td align=right&gt;Name&lt;/td&gt;&lt;td align=left&gt;Republika Slovenija&lt;/tr&gt;&lt;tr&gt;&lt;td align=right&gt;Joined&lt;/td&gt;&lt;td align=left&gt;2004&lt;/tr&gt;&lt;tr&gt;&lt;td align=right&gt;Population&lt;/td&gt;&lt;td align=left&gt;2,054,119&lt;/tr&gt;&lt;tr&gt;&lt;td align=right&gt;km²&lt;/td&gt;&lt;td align=left&gt;20,273&lt;/tr&gt;&lt;tr&gt;&lt;td align=right&gt;GDP&lt;/td&gt;&lt;td align=left&gt;27,654&lt;/tr&gt;&lt;tr&gt;&lt;td align=right&gt;Currency&lt;/td&gt;&lt;td align=left&gt;Euro&lt;/tr&gt;&lt;/table&gt;</v>
      </c>
      <c r="F25" s="2" t="s">
        <v>157</v>
      </c>
      <c r="G25" s="2" t="s">
        <v>158</v>
      </c>
      <c r="H25" s="2" t="s">
        <v>159</v>
      </c>
      <c r="I25" s="3">
        <v>2004</v>
      </c>
      <c r="J25" s="3" t="s">
        <v>160</v>
      </c>
      <c r="K25" s="3" t="s">
        <v>161</v>
      </c>
      <c r="L25" s="3" t="s">
        <v>162</v>
      </c>
      <c r="M25" s="2" t="s">
        <v>18</v>
      </c>
    </row>
    <row r="26" spans="1:13" x14ac:dyDescent="0.2">
      <c r="A26" s="2" t="str">
        <f t="shared" si="0"/>
        <v>Madrid, Spain</v>
      </c>
      <c r="B26" s="2">
        <f>_xll.GeodesiX.UDF.Geocode(B$1,$A26)</f>
        <v>40.416775399999999</v>
      </c>
      <c r="C26" s="2">
        <f>_xll.GeodesiX.UDF.Geocode(C$1,$A26)</f>
        <v>-3.7037901999999998</v>
      </c>
      <c r="D26" s="4" t="s">
        <v>352</v>
      </c>
      <c r="E26" s="2" t="str">
        <f t="shared" si="1"/>
        <v>&lt;table&gt;&lt;tr&gt;&lt;td align=right&gt;State&lt;/td&gt;&lt;td align=left&gt;Spain&lt;/tr&gt;&lt;tr&gt;&lt;td align=right&gt;Capital&lt;/td&gt;&lt;td align=left&gt;Madrid&lt;/tr&gt;&lt;tr&gt;&lt;td align=right&gt;Name&lt;/td&gt;&lt;td align=left&gt;Reino de España&lt;/tr&gt;&lt;tr&gt;&lt;td align=right&gt;Joined&lt;/td&gt;&lt;td align=left&gt;1986&lt;/tr&gt;&lt;tr&gt;&lt;td align=right&gt;Population&lt;/td&gt;&lt;td align=left&gt;46,087,170&lt;/tr&gt;&lt;tr&gt;&lt;td align=right&gt;km²&lt;/td&gt;&lt;td align=left&gt;506,030&lt;/tr&gt;&lt;tr&gt;&lt;td align=right&gt;GDP&lt;/td&gt;&lt;td align=left&gt;31,963&lt;/tr&gt;&lt;tr&gt;&lt;td align=right&gt;Currency&lt;/td&gt;&lt;td align=left&gt;Euro&lt;/tr&gt;&lt;/table&gt;</v>
      </c>
      <c r="F26" s="2" t="s">
        <v>163</v>
      </c>
      <c r="G26" s="2" t="s">
        <v>164</v>
      </c>
      <c r="H26" s="2" t="s">
        <v>165</v>
      </c>
      <c r="I26" s="3">
        <v>1986</v>
      </c>
      <c r="J26" s="3" t="s">
        <v>166</v>
      </c>
      <c r="K26" s="3" t="s">
        <v>167</v>
      </c>
      <c r="L26" s="3" t="s">
        <v>168</v>
      </c>
      <c r="M26" s="2" t="s">
        <v>18</v>
      </c>
    </row>
    <row r="27" spans="1:13" x14ac:dyDescent="0.2">
      <c r="A27" s="2" t="str">
        <f t="shared" si="0"/>
        <v>Stockholm, Sweden</v>
      </c>
      <c r="B27" s="2">
        <f>_xll.GeodesiX.UDF.Geocode(B$1,$A27)</f>
        <v>59.329323500000001</v>
      </c>
      <c r="C27" s="2">
        <f>_xll.GeodesiX.UDF.Geocode(C$1,$A27)</f>
        <v>18.068580799999999</v>
      </c>
      <c r="D27" s="4" t="s">
        <v>353</v>
      </c>
      <c r="E27" s="2" t="str">
        <f t="shared" si="1"/>
        <v>&lt;table&gt;&lt;tr&gt;&lt;td align=right&gt;State&lt;/td&gt;&lt;td align=left&gt;Sweden&lt;/tr&gt;&lt;tr&gt;&lt;td align=right&gt;Capital&lt;/td&gt;&lt;td align=left&gt;Stockholm&lt;/tr&gt;&lt;tr&gt;&lt;td align=right&gt;Name&lt;/td&gt;&lt;td align=left&gt;Konungariket Sverige&lt;/tr&gt;&lt;tr&gt;&lt;td align=right&gt;Joined&lt;/td&gt;&lt;td align=left&gt;1995&lt;/tr&gt;&lt;tr&gt;&lt;td align=right&gt;Population&lt;/td&gt;&lt;td align=left&gt;9,347,899&lt;/tr&gt;&lt;tr&gt;&lt;td align=right&gt;km²&lt;/td&gt;&lt;td align=left&gt;449,964&lt;/tr&gt;&lt;tr&gt;&lt;td align=right&gt;GDP&lt;/td&gt;&lt;td align=left&gt;35,964&lt;/tr&gt;&lt;tr&gt;&lt;td align=right&gt;Currency&lt;/td&gt;&lt;td align=left&gt;Swedish krona&lt;/tr&gt;&lt;/table&gt;</v>
      </c>
      <c r="F27" s="2" t="s">
        <v>169</v>
      </c>
      <c r="G27" s="2" t="s">
        <v>170</v>
      </c>
      <c r="H27" s="2" t="s">
        <v>171</v>
      </c>
      <c r="I27" s="3">
        <v>1995</v>
      </c>
      <c r="J27" s="3" t="s">
        <v>172</v>
      </c>
      <c r="K27" s="3" t="s">
        <v>173</v>
      </c>
      <c r="L27" s="3" t="s">
        <v>174</v>
      </c>
      <c r="M27" s="2" t="s">
        <v>175</v>
      </c>
    </row>
  </sheetData>
  <phoneticPr fontId="1" type="noConversion"/>
  <hyperlinks>
    <hyperlink ref="D2" r:id="rId1" xr:uid="{AA39BCA1-1B6B-4189-AB86-0C75E600BD2C}"/>
    <hyperlink ref="D3" r:id="rId2" xr:uid="{F244FA0C-F4C9-4261-9073-443D90626D3D}"/>
    <hyperlink ref="D4" r:id="rId3" xr:uid="{6204CA43-F2FB-4B46-8AF0-DCC7818F4C18}"/>
    <hyperlink ref="D5" r:id="rId4" xr:uid="{0DB6A665-B61F-4757-94FF-62933036084E}"/>
    <hyperlink ref="D6" r:id="rId5" xr:uid="{EEF19D84-465C-4BB8-BD4D-D8960AF82409}"/>
    <hyperlink ref="D7" r:id="rId6" xr:uid="{3F491FCE-4C9E-4782-99F3-F97516228303}"/>
    <hyperlink ref="D8" r:id="rId7" xr:uid="{124384B9-7E7B-41BB-8475-ADD9941FE622}"/>
    <hyperlink ref="D9" r:id="rId8" xr:uid="{CFCBE663-A4BB-4CF9-A3FE-3C8064DA1A10}"/>
    <hyperlink ref="D10" r:id="rId9" xr:uid="{7F6E6B6F-FE4A-4A3D-8AA6-552CAD8D6640}"/>
    <hyperlink ref="D11" r:id="rId10" xr:uid="{869440AE-2396-4991-9079-F57592B10492}"/>
    <hyperlink ref="D12" r:id="rId11" xr:uid="{1EA83507-7B77-418A-AB28-CAEA847FB380}"/>
    <hyperlink ref="D13" r:id="rId12" xr:uid="{DFE2853B-1919-4A8D-A30C-1767F81B9A1D}"/>
    <hyperlink ref="D14" r:id="rId13" xr:uid="{D3479F90-A806-4236-BDFA-419A4848D98A}"/>
    <hyperlink ref="D15" r:id="rId14" xr:uid="{095F4CD5-017A-4F67-A11A-626E0B49FF47}"/>
    <hyperlink ref="D16" r:id="rId15" xr:uid="{FDD9C03A-2A45-4FE9-9F65-ACCCF67B461A}"/>
    <hyperlink ref="D17" r:id="rId16" xr:uid="{7AA478DA-CC06-4885-B627-48DDCA4EDDF9}"/>
    <hyperlink ref="D18" r:id="rId17" xr:uid="{2095B3AC-2256-432E-BA7D-C44E2A6CE5B9}"/>
    <hyperlink ref="D19" r:id="rId18" xr:uid="{2DBB2C71-C151-4D5A-B967-FA3F88F501A5}"/>
    <hyperlink ref="D20" r:id="rId19" xr:uid="{6DD82439-67E4-4D44-A7ED-9807C43F4E5B}"/>
    <hyperlink ref="D21" r:id="rId20" xr:uid="{F6EEDA7E-56DD-4110-9164-F423054D468D}"/>
    <hyperlink ref="D22" r:id="rId21" xr:uid="{2C893B5F-B862-475D-B59C-AA9141D04730}"/>
    <hyperlink ref="D23" r:id="rId22" xr:uid="{AE9782AA-7B6C-47D1-9F46-18C0188AF4D9}"/>
    <hyperlink ref="D24" r:id="rId23" xr:uid="{8649F09F-6D80-4517-B59B-5F810DEB08F7}"/>
    <hyperlink ref="D25" r:id="rId24" xr:uid="{D7ED30F0-2C9E-4019-ABAB-B2E50231DFB4}"/>
    <hyperlink ref="D26" r:id="rId25" xr:uid="{7624FDB1-34C5-42E9-96B7-820477B118A2}"/>
    <hyperlink ref="D27" r:id="rId26" xr:uid="{FC08702D-BACE-444E-B893-3D49A6BDDB45}"/>
  </hyperlinks>
  <pageMargins left="0.75" right="0.75" top="1" bottom="1" header="0.5" footer="0.5"/>
  <pageSetup paperSize="9" orientation="portrait" r:id="rId27"/>
  <headerFooter alignWithMargins="0"/>
  <customProperties>
    <customPr name="display" r:id="rId28"/>
    <customPr name="id" r:id="rId29"/>
    <customPr name="mapstyle" r:id="rId30"/>
    <customPr name="PaneHeight" r:id="rId31"/>
    <customPr name="PaneWidth" r:id="rId3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28"/>
  <sheetViews>
    <sheetView workbookViewId="0"/>
  </sheetViews>
  <sheetFormatPr defaultRowHeight="12.75" x14ac:dyDescent="0.2"/>
  <sheetData>
    <row r="1" spans="1:18" x14ac:dyDescent="0.2">
      <c r="A1">
        <v>29</v>
      </c>
      <c r="B1" t="s">
        <v>0</v>
      </c>
      <c r="C1" t="s">
        <v>181</v>
      </c>
      <c r="D1" t="s">
        <v>182</v>
      </c>
      <c r="E1" t="s">
        <v>183</v>
      </c>
      <c r="F1" t="s">
        <v>224</v>
      </c>
      <c r="G1" t="s">
        <v>225</v>
      </c>
      <c r="H1" t="s">
        <v>178</v>
      </c>
      <c r="I1" t="s">
        <v>180</v>
      </c>
      <c r="J1" t="s">
        <v>179</v>
      </c>
      <c r="K1" t="s">
        <v>1</v>
      </c>
      <c r="L1" t="s">
        <v>184</v>
      </c>
      <c r="M1" t="s">
        <v>185</v>
      </c>
      <c r="N1" t="s">
        <v>2</v>
      </c>
      <c r="O1" t="s">
        <v>226</v>
      </c>
      <c r="P1" t="s">
        <v>227</v>
      </c>
      <c r="Q1" t="s">
        <v>186</v>
      </c>
      <c r="R1" t="s">
        <v>0</v>
      </c>
    </row>
    <row r="2" spans="1:18" x14ac:dyDescent="0.2">
      <c r="A2" t="s">
        <v>211</v>
      </c>
      <c r="B2" t="s">
        <v>188</v>
      </c>
      <c r="C2" t="s">
        <v>228</v>
      </c>
      <c r="D2" t="s">
        <v>229</v>
      </c>
      <c r="F2" t="s">
        <v>230</v>
      </c>
      <c r="G2" t="s">
        <v>231</v>
      </c>
      <c r="I2" t="s">
        <v>125</v>
      </c>
      <c r="J2" t="s">
        <v>211</v>
      </c>
      <c r="K2">
        <v>52.367573399999998</v>
      </c>
      <c r="L2" t="s">
        <v>126</v>
      </c>
      <c r="M2" t="s">
        <v>189</v>
      </c>
      <c r="N2">
        <v>4.9041389000000004</v>
      </c>
      <c r="O2" t="s">
        <v>232</v>
      </c>
    </row>
    <row r="3" spans="1:18" x14ac:dyDescent="0.2">
      <c r="A3" t="s">
        <v>202</v>
      </c>
      <c r="B3" t="s">
        <v>188</v>
      </c>
      <c r="E3" t="s">
        <v>233</v>
      </c>
      <c r="F3" t="s">
        <v>234</v>
      </c>
      <c r="G3" t="s">
        <v>235</v>
      </c>
      <c r="I3" t="s">
        <v>77</v>
      </c>
      <c r="J3" t="s">
        <v>202</v>
      </c>
      <c r="K3">
        <v>37.983809600000001</v>
      </c>
      <c r="L3" t="s">
        <v>78</v>
      </c>
      <c r="M3" t="s">
        <v>189</v>
      </c>
      <c r="N3">
        <v>23.727538800000001</v>
      </c>
      <c r="O3" t="s">
        <v>236</v>
      </c>
    </row>
    <row r="4" spans="1:18" x14ac:dyDescent="0.2">
      <c r="A4" t="s">
        <v>201</v>
      </c>
      <c r="B4" t="s">
        <v>188</v>
      </c>
      <c r="C4" t="s">
        <v>72</v>
      </c>
      <c r="E4" t="s">
        <v>237</v>
      </c>
      <c r="F4" t="s">
        <v>238</v>
      </c>
      <c r="G4" t="s">
        <v>239</v>
      </c>
      <c r="I4" t="s">
        <v>71</v>
      </c>
      <c r="J4" t="s">
        <v>201</v>
      </c>
      <c r="K4">
        <v>52.520006600000002</v>
      </c>
      <c r="L4" t="s">
        <v>72</v>
      </c>
      <c r="M4" t="s">
        <v>189</v>
      </c>
      <c r="N4">
        <v>13.404954</v>
      </c>
      <c r="O4" t="s">
        <v>240</v>
      </c>
    </row>
    <row r="5" spans="1:18" x14ac:dyDescent="0.2">
      <c r="A5" t="s">
        <v>215</v>
      </c>
      <c r="B5" t="s">
        <v>188</v>
      </c>
      <c r="C5" t="s">
        <v>241</v>
      </c>
      <c r="F5" t="s">
        <v>242</v>
      </c>
      <c r="G5" t="s">
        <v>243</v>
      </c>
      <c r="I5" t="s">
        <v>151</v>
      </c>
      <c r="J5" t="s">
        <v>215</v>
      </c>
      <c r="K5">
        <v>48.148596499999996</v>
      </c>
      <c r="L5" t="s">
        <v>152</v>
      </c>
      <c r="M5" t="s">
        <v>189</v>
      </c>
      <c r="N5">
        <v>17.107747700000001</v>
      </c>
      <c r="O5" t="s">
        <v>244</v>
      </c>
    </row>
    <row r="6" spans="1:18" x14ac:dyDescent="0.2">
      <c r="A6" t="s">
        <v>190</v>
      </c>
      <c r="B6" t="s">
        <v>188</v>
      </c>
      <c r="C6" t="s">
        <v>191</v>
      </c>
      <c r="H6" t="s">
        <v>192</v>
      </c>
      <c r="I6" t="s">
        <v>19</v>
      </c>
      <c r="J6" t="s">
        <v>190</v>
      </c>
      <c r="K6">
        <v>50.850339599999998</v>
      </c>
      <c r="L6" t="s">
        <v>20</v>
      </c>
      <c r="M6" t="s">
        <v>189</v>
      </c>
      <c r="N6">
        <v>4.3517102999999997</v>
      </c>
    </row>
    <row r="7" spans="1:18" x14ac:dyDescent="0.2">
      <c r="A7" t="s">
        <v>214</v>
      </c>
      <c r="B7" t="s">
        <v>188</v>
      </c>
      <c r="C7" t="s">
        <v>145</v>
      </c>
      <c r="D7" t="s">
        <v>145</v>
      </c>
      <c r="F7" t="s">
        <v>245</v>
      </c>
      <c r="G7" t="s">
        <v>246</v>
      </c>
      <c r="I7" t="s">
        <v>144</v>
      </c>
      <c r="J7" t="s">
        <v>214</v>
      </c>
      <c r="K7">
        <v>44.426767400000003</v>
      </c>
      <c r="L7" t="s">
        <v>145</v>
      </c>
      <c r="M7" t="s">
        <v>189</v>
      </c>
      <c r="N7">
        <v>26.1025384</v>
      </c>
      <c r="O7" t="s">
        <v>247</v>
      </c>
    </row>
    <row r="8" spans="1:18" x14ac:dyDescent="0.2">
      <c r="A8" t="s">
        <v>203</v>
      </c>
      <c r="B8" t="s">
        <v>188</v>
      </c>
      <c r="F8" t="s">
        <v>248</v>
      </c>
      <c r="G8" t="s">
        <v>249</v>
      </c>
      <c r="I8" t="s">
        <v>83</v>
      </c>
      <c r="J8" t="s">
        <v>203</v>
      </c>
      <c r="K8">
        <v>47.497911999999999</v>
      </c>
      <c r="L8" t="s">
        <v>84</v>
      </c>
      <c r="M8" t="s">
        <v>189</v>
      </c>
      <c r="N8">
        <v>19.040234999999999</v>
      </c>
      <c r="O8" t="s">
        <v>250</v>
      </c>
    </row>
    <row r="9" spans="1:18" x14ac:dyDescent="0.2">
      <c r="A9" t="s">
        <v>196</v>
      </c>
      <c r="B9" t="s">
        <v>188</v>
      </c>
      <c r="F9" t="s">
        <v>251</v>
      </c>
      <c r="G9" t="s">
        <v>252</v>
      </c>
      <c r="I9" t="s">
        <v>46</v>
      </c>
      <c r="J9" t="s">
        <v>196</v>
      </c>
      <c r="K9">
        <v>55.676096800000003</v>
      </c>
      <c r="L9" t="s">
        <v>47</v>
      </c>
      <c r="M9" t="s">
        <v>189</v>
      </c>
      <c r="N9">
        <v>12.568337100000001</v>
      </c>
      <c r="O9" t="s">
        <v>253</v>
      </c>
    </row>
    <row r="10" spans="1:18" x14ac:dyDescent="0.2">
      <c r="A10" t="s">
        <v>204</v>
      </c>
      <c r="B10" t="s">
        <v>188</v>
      </c>
      <c r="C10" t="s">
        <v>254</v>
      </c>
      <c r="F10" t="s">
        <v>255</v>
      </c>
      <c r="G10" t="s">
        <v>256</v>
      </c>
      <c r="I10" t="s">
        <v>90</v>
      </c>
      <c r="J10" t="s">
        <v>204</v>
      </c>
      <c r="K10">
        <v>53.3498053</v>
      </c>
      <c r="L10" t="s">
        <v>91</v>
      </c>
      <c r="M10" t="s">
        <v>189</v>
      </c>
      <c r="N10">
        <v>-6.2603096999999996</v>
      </c>
      <c r="O10" t="s">
        <v>257</v>
      </c>
    </row>
    <row r="11" spans="1:18" x14ac:dyDescent="0.2">
      <c r="A11" t="s">
        <v>198</v>
      </c>
      <c r="B11" t="s">
        <v>188</v>
      </c>
      <c r="C11" t="s">
        <v>199</v>
      </c>
      <c r="D11" t="s">
        <v>60</v>
      </c>
      <c r="E11" t="s">
        <v>60</v>
      </c>
      <c r="F11" t="s">
        <v>258</v>
      </c>
      <c r="G11" t="s">
        <v>259</v>
      </c>
      <c r="I11" t="s">
        <v>59</v>
      </c>
      <c r="J11" t="s">
        <v>198</v>
      </c>
      <c r="K11">
        <v>60.169855699999999</v>
      </c>
      <c r="L11" t="s">
        <v>60</v>
      </c>
      <c r="M11" t="s">
        <v>189</v>
      </c>
      <c r="N11">
        <v>24.938379000000001</v>
      </c>
      <c r="O11" t="s">
        <v>260</v>
      </c>
    </row>
    <row r="12" spans="1:18" x14ac:dyDescent="0.2">
      <c r="A12" t="s">
        <v>213</v>
      </c>
      <c r="B12" t="s">
        <v>188</v>
      </c>
      <c r="C12" t="s">
        <v>139</v>
      </c>
      <c r="D12" t="s">
        <v>139</v>
      </c>
      <c r="F12" t="s">
        <v>261</v>
      </c>
      <c r="G12" t="s">
        <v>262</v>
      </c>
      <c r="I12" t="s">
        <v>138</v>
      </c>
      <c r="J12" t="s">
        <v>213</v>
      </c>
      <c r="K12">
        <v>38.722252400000002</v>
      </c>
      <c r="L12" t="s">
        <v>139</v>
      </c>
      <c r="M12" t="s">
        <v>189</v>
      </c>
      <c r="N12">
        <v>-9.1393366</v>
      </c>
      <c r="O12" t="s">
        <v>263</v>
      </c>
    </row>
    <row r="13" spans="1:18" x14ac:dyDescent="0.2">
      <c r="A13" t="s">
        <v>216</v>
      </c>
      <c r="B13" t="s">
        <v>188</v>
      </c>
      <c r="C13" t="s">
        <v>158</v>
      </c>
      <c r="F13" t="s">
        <v>264</v>
      </c>
      <c r="G13" t="s">
        <v>265</v>
      </c>
      <c r="I13" t="s">
        <v>157</v>
      </c>
      <c r="J13" t="s">
        <v>216</v>
      </c>
      <c r="K13">
        <v>46.056946500000002</v>
      </c>
      <c r="L13" t="s">
        <v>158</v>
      </c>
      <c r="M13" t="s">
        <v>189</v>
      </c>
      <c r="N13">
        <v>14.505751500000001</v>
      </c>
      <c r="O13" t="s">
        <v>266</v>
      </c>
    </row>
    <row r="14" spans="1:18" x14ac:dyDescent="0.2">
      <c r="A14" t="s">
        <v>220</v>
      </c>
      <c r="B14" t="s">
        <v>188</v>
      </c>
      <c r="C14" t="s">
        <v>222</v>
      </c>
      <c r="D14" t="s">
        <v>221</v>
      </c>
      <c r="F14" t="s">
        <v>267</v>
      </c>
      <c r="G14" t="s">
        <v>268</v>
      </c>
      <c r="I14" t="s">
        <v>176</v>
      </c>
      <c r="J14" t="s">
        <v>269</v>
      </c>
      <c r="K14">
        <v>51.507217799999999</v>
      </c>
      <c r="L14" t="s">
        <v>177</v>
      </c>
      <c r="M14" t="s">
        <v>189</v>
      </c>
      <c r="N14">
        <v>-0.12758620000000001</v>
      </c>
      <c r="O14" t="s">
        <v>270</v>
      </c>
      <c r="Q14" t="s">
        <v>177</v>
      </c>
    </row>
    <row r="15" spans="1:18" x14ac:dyDescent="0.2">
      <c r="A15" t="s">
        <v>209</v>
      </c>
      <c r="B15" t="s">
        <v>188</v>
      </c>
      <c r="F15" t="s">
        <v>271</v>
      </c>
      <c r="G15" t="s">
        <v>272</v>
      </c>
      <c r="I15" t="s">
        <v>116</v>
      </c>
      <c r="J15" t="s">
        <v>116</v>
      </c>
      <c r="K15">
        <v>49.815272999999998</v>
      </c>
      <c r="M15" t="s">
        <v>189</v>
      </c>
      <c r="N15">
        <v>6.1295830000000002</v>
      </c>
      <c r="O15" t="s">
        <v>273</v>
      </c>
    </row>
    <row r="16" spans="1:18" x14ac:dyDescent="0.2">
      <c r="A16" t="s">
        <v>217</v>
      </c>
      <c r="B16" t="s">
        <v>188</v>
      </c>
      <c r="C16" t="s">
        <v>218</v>
      </c>
      <c r="D16" t="s">
        <v>164</v>
      </c>
      <c r="F16" t="s">
        <v>274</v>
      </c>
      <c r="G16" t="s">
        <v>275</v>
      </c>
      <c r="I16" t="s">
        <v>163</v>
      </c>
      <c r="J16" t="s">
        <v>217</v>
      </c>
      <c r="K16">
        <v>40.416775399999999</v>
      </c>
      <c r="L16" t="s">
        <v>164</v>
      </c>
      <c r="M16" t="s">
        <v>189</v>
      </c>
      <c r="N16">
        <v>-3.7037901999999998</v>
      </c>
      <c r="O16" t="s">
        <v>276</v>
      </c>
    </row>
    <row r="17" spans="1:16" x14ac:dyDescent="0.2">
      <c r="A17" t="s">
        <v>194</v>
      </c>
      <c r="B17" t="s">
        <v>188</v>
      </c>
      <c r="C17" t="s">
        <v>34</v>
      </c>
      <c r="F17" t="s">
        <v>277</v>
      </c>
      <c r="G17" t="s">
        <v>278</v>
      </c>
      <c r="I17" t="s">
        <v>33</v>
      </c>
      <c r="J17" t="s">
        <v>194</v>
      </c>
      <c r="K17">
        <v>35.1855659</v>
      </c>
      <c r="L17" t="s">
        <v>34</v>
      </c>
      <c r="M17" t="s">
        <v>189</v>
      </c>
      <c r="N17">
        <v>33.382276400000002</v>
      </c>
      <c r="O17" t="s">
        <v>279</v>
      </c>
    </row>
    <row r="18" spans="1:16" x14ac:dyDescent="0.2">
      <c r="A18" t="s">
        <v>200</v>
      </c>
      <c r="B18" t="s">
        <v>188</v>
      </c>
      <c r="C18" t="s">
        <v>280</v>
      </c>
      <c r="D18" t="s">
        <v>66</v>
      </c>
      <c r="F18" t="s">
        <v>281</v>
      </c>
      <c r="G18" t="s">
        <v>282</v>
      </c>
      <c r="I18" t="s">
        <v>65</v>
      </c>
      <c r="J18" t="s">
        <v>200</v>
      </c>
      <c r="K18">
        <v>48.857547500000003</v>
      </c>
      <c r="L18" t="s">
        <v>66</v>
      </c>
      <c r="M18" t="s">
        <v>189</v>
      </c>
      <c r="N18">
        <v>2.3513765000000002</v>
      </c>
      <c r="O18" t="s">
        <v>283</v>
      </c>
    </row>
    <row r="19" spans="1:16" x14ac:dyDescent="0.2">
      <c r="A19" t="s">
        <v>195</v>
      </c>
      <c r="B19" t="s">
        <v>188</v>
      </c>
      <c r="C19" t="s">
        <v>40</v>
      </c>
      <c r="D19" t="s">
        <v>284</v>
      </c>
      <c r="F19" t="s">
        <v>285</v>
      </c>
      <c r="G19" t="s">
        <v>286</v>
      </c>
      <c r="I19" t="s">
        <v>287</v>
      </c>
      <c r="J19" t="s">
        <v>288</v>
      </c>
      <c r="K19">
        <v>50.075538100000003</v>
      </c>
      <c r="L19" t="s">
        <v>40</v>
      </c>
      <c r="M19" t="s">
        <v>189</v>
      </c>
      <c r="N19">
        <v>14.4378005</v>
      </c>
      <c r="O19" t="s">
        <v>289</v>
      </c>
    </row>
    <row r="20" spans="1:16" x14ac:dyDescent="0.2">
      <c r="A20" t="s">
        <v>207</v>
      </c>
      <c r="B20" t="s">
        <v>188</v>
      </c>
      <c r="F20" t="s">
        <v>290</v>
      </c>
      <c r="G20" t="s">
        <v>291</v>
      </c>
      <c r="I20" t="s">
        <v>102</v>
      </c>
      <c r="J20" t="s">
        <v>207</v>
      </c>
      <c r="K20">
        <v>56.967694100000003</v>
      </c>
      <c r="L20" t="s">
        <v>103</v>
      </c>
      <c r="M20" t="s">
        <v>189</v>
      </c>
      <c r="N20">
        <v>24.105622100000001</v>
      </c>
      <c r="O20" t="s">
        <v>292</v>
      </c>
    </row>
    <row r="21" spans="1:16" x14ac:dyDescent="0.2">
      <c r="A21" t="s">
        <v>205</v>
      </c>
      <c r="B21" t="s">
        <v>188</v>
      </c>
      <c r="C21" t="s">
        <v>206</v>
      </c>
      <c r="D21" t="s">
        <v>293</v>
      </c>
      <c r="E21" t="s">
        <v>97</v>
      </c>
      <c r="F21" t="s">
        <v>294</v>
      </c>
      <c r="G21" t="s">
        <v>295</v>
      </c>
      <c r="I21" t="s">
        <v>96</v>
      </c>
      <c r="J21" t="s">
        <v>296</v>
      </c>
      <c r="K21">
        <v>41.896706799999997</v>
      </c>
      <c r="L21" t="s">
        <v>97</v>
      </c>
      <c r="M21" t="s">
        <v>189</v>
      </c>
      <c r="N21">
        <v>12.4822025</v>
      </c>
      <c r="O21" t="s">
        <v>297</v>
      </c>
    </row>
    <row r="22" spans="1:16" x14ac:dyDescent="0.2">
      <c r="A22" t="s">
        <v>193</v>
      </c>
      <c r="B22" t="s">
        <v>188</v>
      </c>
      <c r="C22" t="s">
        <v>298</v>
      </c>
      <c r="F22" t="s">
        <v>299</v>
      </c>
      <c r="G22" t="s">
        <v>300</v>
      </c>
      <c r="I22" t="s">
        <v>26</v>
      </c>
      <c r="J22" t="s">
        <v>193</v>
      </c>
      <c r="K22">
        <v>42.697708200000001</v>
      </c>
      <c r="L22" t="s">
        <v>27</v>
      </c>
      <c r="M22" t="s">
        <v>189</v>
      </c>
      <c r="N22">
        <v>23.3218675</v>
      </c>
      <c r="O22" t="s">
        <v>301</v>
      </c>
    </row>
    <row r="23" spans="1:16" x14ac:dyDescent="0.2">
      <c r="A23" t="s">
        <v>219</v>
      </c>
      <c r="B23" t="s">
        <v>188</v>
      </c>
      <c r="C23" t="s">
        <v>302</v>
      </c>
      <c r="F23" t="s">
        <v>303</v>
      </c>
      <c r="G23" t="s">
        <v>304</v>
      </c>
      <c r="I23" t="s">
        <v>169</v>
      </c>
      <c r="J23" t="s">
        <v>219</v>
      </c>
      <c r="K23">
        <v>59.329323500000001</v>
      </c>
      <c r="L23" t="s">
        <v>170</v>
      </c>
      <c r="M23" t="s">
        <v>189</v>
      </c>
      <c r="N23">
        <v>18.068580799999999</v>
      </c>
      <c r="O23" t="s">
        <v>305</v>
      </c>
    </row>
    <row r="24" spans="1:16" x14ac:dyDescent="0.2">
      <c r="A24" t="s">
        <v>197</v>
      </c>
      <c r="B24" t="s">
        <v>188</v>
      </c>
      <c r="C24" t="s">
        <v>306</v>
      </c>
      <c r="F24" t="s">
        <v>307</v>
      </c>
      <c r="G24" t="s">
        <v>308</v>
      </c>
      <c r="I24" t="s">
        <v>53</v>
      </c>
      <c r="J24" t="s">
        <v>197</v>
      </c>
      <c r="K24">
        <v>59.436960800000001</v>
      </c>
      <c r="L24" t="s">
        <v>54</v>
      </c>
      <c r="M24" t="s">
        <v>189</v>
      </c>
      <c r="N24">
        <v>24.7535746</v>
      </c>
      <c r="O24" t="s">
        <v>309</v>
      </c>
    </row>
    <row r="25" spans="1:16" x14ac:dyDescent="0.2">
      <c r="A25" t="s">
        <v>210</v>
      </c>
      <c r="B25" t="s">
        <v>188</v>
      </c>
      <c r="F25" t="s">
        <v>310</v>
      </c>
      <c r="G25" t="s">
        <v>311</v>
      </c>
      <c r="I25" t="s">
        <v>121</v>
      </c>
      <c r="J25" t="s">
        <v>210</v>
      </c>
      <c r="K25">
        <v>35.899237499999998</v>
      </c>
      <c r="L25" t="s">
        <v>122</v>
      </c>
      <c r="M25" t="s">
        <v>189</v>
      </c>
      <c r="N25">
        <v>14.5140996</v>
      </c>
      <c r="O25" t="s">
        <v>312</v>
      </c>
    </row>
    <row r="26" spans="1:16" x14ac:dyDescent="0.2">
      <c r="A26" t="s">
        <v>187</v>
      </c>
      <c r="B26" t="s">
        <v>188</v>
      </c>
      <c r="C26" t="s">
        <v>13</v>
      </c>
      <c r="D26" t="s">
        <v>13</v>
      </c>
      <c r="F26" t="s">
        <v>313</v>
      </c>
      <c r="G26" t="s">
        <v>314</v>
      </c>
      <c r="I26" t="s">
        <v>12</v>
      </c>
      <c r="J26" t="s">
        <v>187</v>
      </c>
      <c r="K26">
        <v>48.208069600000002</v>
      </c>
      <c r="L26" t="s">
        <v>13</v>
      </c>
      <c r="M26" t="s">
        <v>189</v>
      </c>
      <c r="N26">
        <v>16.371309499999999</v>
      </c>
      <c r="O26" t="s">
        <v>315</v>
      </c>
    </row>
    <row r="27" spans="1:16" x14ac:dyDescent="0.2">
      <c r="A27" t="s">
        <v>208</v>
      </c>
      <c r="B27" t="s">
        <v>188</v>
      </c>
      <c r="C27" t="s">
        <v>316</v>
      </c>
      <c r="D27" t="s">
        <v>317</v>
      </c>
      <c r="F27" t="s">
        <v>318</v>
      </c>
      <c r="G27" t="s">
        <v>319</v>
      </c>
      <c r="I27" t="s">
        <v>109</v>
      </c>
      <c r="J27" t="s">
        <v>320</v>
      </c>
      <c r="K27">
        <v>54.687155500000003</v>
      </c>
      <c r="L27" t="s">
        <v>110</v>
      </c>
      <c r="M27" t="s">
        <v>189</v>
      </c>
      <c r="N27">
        <v>25.279651399999999</v>
      </c>
      <c r="O27" t="s">
        <v>321</v>
      </c>
    </row>
    <row r="28" spans="1:16" x14ac:dyDescent="0.2">
      <c r="A28" t="s">
        <v>212</v>
      </c>
      <c r="B28" t="s">
        <v>188</v>
      </c>
      <c r="C28" t="s">
        <v>322</v>
      </c>
      <c r="D28" t="s">
        <v>132</v>
      </c>
      <c r="F28" t="s">
        <v>323</v>
      </c>
      <c r="G28" t="s">
        <v>324</v>
      </c>
      <c r="I28" t="s">
        <v>131</v>
      </c>
      <c r="J28" t="s">
        <v>212</v>
      </c>
      <c r="K28">
        <v>52.2296756</v>
      </c>
      <c r="L28" t="s">
        <v>132</v>
      </c>
      <c r="M28" t="s">
        <v>189</v>
      </c>
      <c r="N28">
        <v>21.012228700000001</v>
      </c>
      <c r="O28" t="s">
        <v>325</v>
      </c>
      <c r="P28">
        <v>3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EEC</vt:lpstr>
    </vt:vector>
  </TitlesOfParts>
  <Company>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Maurice Calvert</dc:creator>
  <cp:lastModifiedBy>Maurice Calvert</cp:lastModifiedBy>
  <dcterms:created xsi:type="dcterms:W3CDTF">2011-02-09T10:22:16Z</dcterms:created>
  <dcterms:modified xsi:type="dcterms:W3CDTF">2024-05-30T07:43:43Z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ocodes">
    <vt:i4>1</vt:i4>
  </property>
  <property fmtid="{D5CDD505-2E9C-101B-9397-08002B2CF9AE}" pid="3" name="Guid">
    <vt:lpwstr>952265e1-6633-4889-87d2-5553595d3cac</vt:lpwstr>
  </property>
  <property fmtid="{D5CDD505-2E9C-101B-9397-08002B2CF9AE}" pid="4" name="DrawingSettings">
    <vt:lpwstr>[_x000d_
  {_x000d_
    "Key": "align",_x000d_
    "Value": "Centre"_x000d_
  },_x000d_
  {_x000d_
    "Key": "arrow",_x000d_
    "Value": ""_x000d_
  },_x000d_
  {_x000d_
    "Key": "arrowColor",_x000d_
    "Value": "Blue"_x000d_
  },_x000d_
  {_x000d_
    "Key": "arrowSize",_x000d_
    "Value": "6"_x000d_
  },_x000d_
  {_x000d_
    "Key": "icon",_x000d_
    "Value": "$Push_Pin"_x000d_
  },_x000d_
  {_x000d_
    "Key": "iconColor",_x000d_
    "Value": "Red"_x000d_
  },_x000d_
  {_x000d_
    "Key": "iconSize",_x000d_
    "Value": "24"_x000d_
  },_x000d_
  {_x000d_
    "Key": "lineTitle",_x000d_
    "Value": ""_x000d_
  },_x000d_
  {_x000d_
    "Key": "strokeColor",_x000d_
    "Value": "Red"_x000d_
  },_x000d_
  {_x000d_
    "Key": "strokeOpacity",_x000d_
    "Value": "1"_x000d_
  },_x000d_
  {_x000d_
    "Key": "strokeWeight",_x000d_
    "Value": "0"_x000d_
  },_x000d_
  {_x000d_
    "Key": "symbols",_x000d_
    "Value": "outlined"_x000d_
  },_x000d_
  {_x000d_
    "Key": "title",_x000d_
    "Value": ""_x000d_
  }_x000d_
]</vt:lpwstr>
  </property>
</Properties>
</file>